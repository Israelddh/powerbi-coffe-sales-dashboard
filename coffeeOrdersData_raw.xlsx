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customers" sheetId="2" r:id="rId5"/>
    <sheet state="visible" name="products" sheetId="3" r:id="rId6"/>
  </sheets>
  <definedNames/>
  <calcPr/>
  <extLst>
    <ext uri="GoogleSheetsCustomDataVersion2">
      <go:sheetsCustomData xmlns:go="http://customooxmlschemas.google.com/" r:id="rId7" roundtripDataChecksum="y6UEiUGq36q2iSMURJxMwijNmjqhuw7IZXUyqrj6YJ8="/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<sst xmlns="http://schemas.openxmlformats.org/spreadsheetml/2006/main" count="11057" uniqueCount="6196">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</sst>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"/>
  </numFmts>
  <fonts count="4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2" numFmtId="0" xfId="0" applyFon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1.86"/>
    <col customWidth="1" min="3" max="3" width="17.43"/>
    <col customWidth="1" min="4" max="4" width="10.14"/>
    <col customWidth="1" min="5" max="5" width="8.71"/>
    <col customWidth="1" min="6" max="6" width="20.86"/>
    <col customWidth="1" min="7" max="7" width="31.43"/>
    <col customWidth="1" min="8" max="8" width="17.14"/>
    <col customWidth="1" min="9" max="9" width="11.71"/>
    <col customWidth="1" min="10" max="10" width="10.57"/>
    <col customWidth="1" min="11" max="11" width="4.57"/>
    <col customWidth="1" min="12" max="12" width="9.57"/>
    <col customWidth="1" min="13" max="13" width="5.57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43713.0</v>
      </c>
      <c r="C2" s="1" t="s">
        <v>14</v>
      </c>
      <c r="D2" s="3" t="s">
        <v>15</v>
      </c>
      <c r="E2" s="1">
        <v>2.0</v>
      </c>
      <c r="F2" s="1" t="str">
        <f t="array" ref="F2">XLOOKUP(C2,customers!A1:A1001, customers!B1:B1001,0)</f>
        <v>Aloisia Allner</v>
      </c>
      <c r="G2" s="1" t="str">
        <f t="array" ref="G2">IF(XLOOKUP(C3,customers!$A$1:$A$1001,customers!$C$1:$C$1001,0)=0,"",XLOOKUP(C3,customers!$A$1:$A$1001,customers!$C$1:$C$1001,0))</f>
        <v>aallner0@lulu.com</v>
      </c>
      <c r="H2" s="1" t="str">
        <f t="array" ref="H2">XLOOKUP(C2,customers!$A$1:$A$1001,customers!$F$1:$F$1001,0)</f>
        <v>Paterson</v>
      </c>
    </row>
    <row r="3">
      <c r="A3" s="1" t="s">
        <v>13</v>
      </c>
      <c r="B3" s="2">
        <v>43713.0</v>
      </c>
      <c r="C3" s="1" t="s">
        <v>14</v>
      </c>
      <c r="D3" s="3" t="s">
        <v>16</v>
      </c>
      <c r="E3" s="1">
        <v>5.0</v>
      </c>
      <c r="F3" s="1" t="str">
        <f t="array" ref="F3">XLOOKUP(C3,customers!A2:A1002, customers!B2:B1002,0)</f>
        <v>Aloisia Allner</v>
      </c>
      <c r="G3" s="1" t="str">
        <f t="array" ref="G3">IF(XLOOKUP(C4,customers!$A$1:$A$1001,customers!$C$1:$C$1001,0)=0,"",XLOOKUP(C4,customers!$A$1:$A$1001,customers!$C$1:$C$1001,0))</f>
        <v>jredholes2@tmall.com</v>
      </c>
      <c r="H3" s="1" t="str">
        <f t="array" ref="H3">XLOOKUP(C3,customers!$A$1:$A$1001,customers!$F$1:$F$1001,0)</f>
        <v>Paterson</v>
      </c>
    </row>
    <row r="4">
      <c r="A4" s="1" t="s">
        <v>17</v>
      </c>
      <c r="B4" s="2">
        <v>44364.0</v>
      </c>
      <c r="C4" s="1" t="s">
        <v>18</v>
      </c>
      <c r="D4" s="3" t="s">
        <v>19</v>
      </c>
      <c r="E4" s="1">
        <v>1.0</v>
      </c>
      <c r="F4" s="1" t="str">
        <f t="array" ref="F4">XLOOKUP(C4,customers!A3:A1003, customers!B3:B1003,0)</f>
        <v>Jami Redholes</v>
      </c>
      <c r="G4" s="1" t="str">
        <f t="array" ref="G4">IF(XLOOKUP(C5,customers!$A$1:$A$1001,customers!$C$1:$C$1001,0)=0,"",XLOOKUP(C5,customers!$A$1:$A$1001,customers!$C$1:$C$1001,0))</f>
        <v/>
      </c>
      <c r="H4" s="1" t="str">
        <f t="array" ref="H4">XLOOKUP(C4,customers!$A$1:$A$1001,customers!$F$1:$F$1001,0)</f>
        <v>San Antonio</v>
      </c>
    </row>
    <row r="5">
      <c r="A5" s="1" t="s">
        <v>20</v>
      </c>
      <c r="B5" s="2">
        <v>44392.0</v>
      </c>
      <c r="C5" s="1" t="s">
        <v>21</v>
      </c>
      <c r="D5" s="3" t="s">
        <v>22</v>
      </c>
      <c r="E5" s="1">
        <v>2.0</v>
      </c>
      <c r="F5" s="1" t="str">
        <f t="array" ref="F5">XLOOKUP(C5,customers!A4:A1004, customers!B4:B1004,0)</f>
        <v>Christoffer O' Shea</v>
      </c>
      <c r="G5" s="1" t="str">
        <f t="array" ref="G5">IF(XLOOKUP(C6,customers!$A$1:$A$1001,customers!$C$1:$C$1001,0)=0,"",XLOOKUP(C6,customers!$A$1:$A$1001,customers!$C$1:$C$1001,0))</f>
        <v/>
      </c>
      <c r="H5" s="1" t="str">
        <f t="array" ref="H5">XLOOKUP(C5,customers!$A$1:$A$1001,customers!$F$1:$F$1001,0)</f>
        <v>Cill Airne</v>
      </c>
    </row>
    <row r="6">
      <c r="A6" s="1" t="s">
        <v>20</v>
      </c>
      <c r="B6" s="2">
        <v>44392.0</v>
      </c>
      <c r="C6" s="1" t="s">
        <v>21</v>
      </c>
      <c r="D6" s="3" t="s">
        <v>23</v>
      </c>
      <c r="E6" s="1">
        <v>2.0</v>
      </c>
      <c r="F6" s="1" t="str">
        <f t="array" ref="F6">XLOOKUP(C6,customers!A5:A1005, customers!B5:B1005,0)</f>
        <v>Christoffer O' Shea</v>
      </c>
      <c r="G6" s="1" t="str">
        <f t="array" ref="G6">IF(XLOOKUP(C7,customers!$A$1:$A$1001,customers!$C$1:$C$1001,0)=0,"",XLOOKUP(C7,customers!$A$1:$A$1001,customers!$C$1:$C$1001,0))</f>
        <v/>
      </c>
      <c r="H6" s="1" t="str">
        <f t="array" ref="H6">XLOOKUP(C6,customers!$A$1:$A$1001,customers!$F$1:$F$1001,0)</f>
        <v>Cill Airne</v>
      </c>
    </row>
    <row r="7">
      <c r="A7" s="1" t="s">
        <v>24</v>
      </c>
      <c r="B7" s="2">
        <v>44412.0</v>
      </c>
      <c r="C7" s="1" t="s">
        <v>25</v>
      </c>
      <c r="D7" s="3" t="s">
        <v>26</v>
      </c>
      <c r="E7" s="1">
        <v>3.0</v>
      </c>
      <c r="F7" s="1" t="str">
        <f t="array" ref="F7">XLOOKUP(C7,customers!A6:A1006, customers!B6:B1006,0)</f>
        <v>Beryle Cottier</v>
      </c>
      <c r="G7" s="1" t="str">
        <f t="array" ref="G7">IF(XLOOKUP(C8,customers!$A$1:$A$1001,customers!$C$1:$C$1001,0)=0,"",XLOOKUP(C8,customers!$A$1:$A$1001,customers!$C$1:$C$1001,0))</f>
        <v>slobe6@nifty.com</v>
      </c>
      <c r="H7" s="1" t="str">
        <f t="array" ref="H7">XLOOKUP(C7,customers!$A$1:$A$1001,customers!$F$1:$F$1001,0)</f>
        <v>Scranton</v>
      </c>
    </row>
    <row r="8">
      <c r="A8" s="1" t="s">
        <v>27</v>
      </c>
      <c r="B8" s="2">
        <v>44582.0</v>
      </c>
      <c r="C8" s="1" t="s">
        <v>28</v>
      </c>
      <c r="D8" s="3" t="s">
        <v>29</v>
      </c>
      <c r="E8" s="1">
        <v>3.0</v>
      </c>
      <c r="F8" s="1" t="str">
        <f t="array" ref="F8">XLOOKUP(C8,customers!A7:A1007, customers!B7:B1007,0)</f>
        <v>Shaylynn Lobe</v>
      </c>
      <c r="G8" s="1" t="str">
        <f t="array" ref="G8">IF(XLOOKUP(C9,customers!$A$1:$A$1001,customers!$C$1:$C$1001,0)=0,"",XLOOKUP(C9,customers!$A$1:$A$1001,customers!$C$1:$C$1001,0))</f>
        <v/>
      </c>
      <c r="H8" s="1" t="str">
        <f t="array" ref="H8">XLOOKUP(C8,customers!$A$1:$A$1001,customers!$F$1:$F$1001,0)</f>
        <v>Dayton</v>
      </c>
    </row>
    <row r="9">
      <c r="A9" s="1" t="s">
        <v>30</v>
      </c>
      <c r="B9" s="2">
        <v>44701.0</v>
      </c>
      <c r="C9" s="1" t="s">
        <v>31</v>
      </c>
      <c r="D9" s="3" t="s">
        <v>32</v>
      </c>
      <c r="E9" s="1">
        <v>1.0</v>
      </c>
      <c r="F9" s="1" t="str">
        <f t="array" ref="F9">XLOOKUP(C9,customers!A8:A1008, customers!B8:B1008,0)</f>
        <v>Melvin Wharfe</v>
      </c>
      <c r="G9" s="1" t="str">
        <f t="array" ref="G9">IF(XLOOKUP(C10,customers!$A$1:$A$1001,customers!$C$1:$C$1001,0)=0,"",XLOOKUP(C10,customers!$A$1:$A$1001,customers!$C$1:$C$1001,0))</f>
        <v>gpetracci8@livejournal.com</v>
      </c>
      <c r="H9" s="1" t="str">
        <f t="array" ref="H9">XLOOKUP(C9,customers!$A$1:$A$1001,customers!$F$1:$F$1001,0)</f>
        <v>Kill</v>
      </c>
    </row>
    <row r="10">
      <c r="A10" s="1" t="s">
        <v>33</v>
      </c>
      <c r="B10" s="2">
        <v>43467.0</v>
      </c>
      <c r="C10" s="1" t="s">
        <v>34</v>
      </c>
      <c r="D10" s="3" t="s">
        <v>35</v>
      </c>
      <c r="E10" s="1">
        <v>3.0</v>
      </c>
      <c r="F10" s="1" t="str">
        <f t="array" ref="F10">XLOOKUP(C10,customers!A9:A1009, customers!B9:B1009,0)</f>
        <v>Guthrey Petracci</v>
      </c>
      <c r="G10" s="1" t="str">
        <f t="array" ref="G10">IF(XLOOKUP(C11,customers!$A$1:$A$1001,customers!$C$1:$C$1001,0)=0,"",XLOOKUP(C11,customers!$A$1:$A$1001,customers!$C$1:$C$1001,0))</f>
        <v>rraven9@ed.gov</v>
      </c>
      <c r="H10" s="1" t="str">
        <f t="array" ref="H10">XLOOKUP(C10,customers!$A$1:$A$1001,customers!$F$1:$F$1001,0)</f>
        <v>Los Angeles</v>
      </c>
    </row>
    <row r="11">
      <c r="A11" s="1" t="s">
        <v>36</v>
      </c>
      <c r="B11" s="2">
        <v>43713.0</v>
      </c>
      <c r="C11" s="1" t="s">
        <v>37</v>
      </c>
      <c r="D11" s="3" t="s">
        <v>35</v>
      </c>
      <c r="E11" s="1">
        <v>1.0</v>
      </c>
      <c r="F11" s="1" t="str">
        <f t="array" ref="F11">XLOOKUP(C11,customers!A10:A1010, customers!B10:B1010,0)</f>
        <v>Rodger Raven</v>
      </c>
      <c r="G11" s="1" t="str">
        <f t="array" ref="G11">IF(XLOOKUP(C12,customers!$A$1:$A$1001,customers!$C$1:$C$1001,0)=0,"",XLOOKUP(C12,customers!$A$1:$A$1001,customers!$C$1:$C$1001,0))</f>
        <v>fferbera@businesswire.com</v>
      </c>
      <c r="H11" s="1" t="str">
        <f t="array" ref="H11">XLOOKUP(C11,customers!$A$1:$A$1001,customers!$F$1:$F$1001,0)</f>
        <v>Los Angeles</v>
      </c>
    </row>
    <row r="12">
      <c r="A12" s="1" t="s">
        <v>38</v>
      </c>
      <c r="B12" s="2">
        <v>44263.0</v>
      </c>
      <c r="C12" s="1" t="s">
        <v>39</v>
      </c>
      <c r="D12" s="3" t="s">
        <v>40</v>
      </c>
      <c r="E12" s="1">
        <v>4.0</v>
      </c>
      <c r="F12" s="1" t="str">
        <f t="array" ref="F12">XLOOKUP(C12,customers!A11:A1011, customers!B11:B1011,0)</f>
        <v>Ferrell Ferber</v>
      </c>
      <c r="G12" s="1" t="str">
        <f t="array" ref="G12">IF(XLOOKUP(C13,customers!$A$1:$A$1001,customers!$C$1:$C$1001,0)=0,"",XLOOKUP(C13,customers!$A$1:$A$1001,customers!$C$1:$C$1001,0))</f>
        <v>dphizackerlyb@utexas.edu</v>
      </c>
      <c r="H12" s="1" t="str">
        <f t="array" ref="H12">XLOOKUP(C12,customers!$A$1:$A$1001,customers!$F$1:$F$1001,0)</f>
        <v>San Jose</v>
      </c>
    </row>
    <row r="13">
      <c r="A13" s="1" t="s">
        <v>41</v>
      </c>
      <c r="B13" s="2">
        <v>44132.0</v>
      </c>
      <c r="C13" s="1" t="s">
        <v>42</v>
      </c>
      <c r="D13" s="3" t="s">
        <v>43</v>
      </c>
      <c r="E13" s="1">
        <v>5.0</v>
      </c>
      <c r="F13" s="1" t="str">
        <f t="array" ref="F13">XLOOKUP(C13,customers!A12:A1012, customers!B12:B1012,0)</f>
        <v>Duky Phizackerly</v>
      </c>
      <c r="G13" s="1" t="str">
        <f t="array" ref="G13">IF(XLOOKUP(C14,customers!$A$1:$A$1001,customers!$C$1:$C$1001,0)=0,"",XLOOKUP(C14,customers!$A$1:$A$1001,customers!$C$1:$C$1001,0))</f>
        <v>rscholarc@nyu.edu</v>
      </c>
      <c r="H13" s="1" t="str">
        <f t="array" ref="H13">XLOOKUP(C13,customers!$A$1:$A$1001,customers!$F$1:$F$1001,0)</f>
        <v>San Jose</v>
      </c>
    </row>
    <row r="14">
      <c r="A14" s="1" t="s">
        <v>44</v>
      </c>
      <c r="B14" s="2">
        <v>44744.0</v>
      </c>
      <c r="C14" s="1" t="s">
        <v>45</v>
      </c>
      <c r="D14" s="3" t="s">
        <v>15</v>
      </c>
      <c r="E14" s="1">
        <v>5.0</v>
      </c>
      <c r="F14" s="1" t="str">
        <f t="array" ref="F14">XLOOKUP(C14,customers!A13:A1013, customers!B13:B1013,0)</f>
        <v>Rosaleen Scholar</v>
      </c>
      <c r="G14" s="1" t="str">
        <f t="array" ref="G14">IF(XLOOKUP(C15,customers!$A$1:$A$1001,customers!$C$1:$C$1001,0)=0,"",XLOOKUP(C15,customers!$A$1:$A$1001,customers!$C$1:$C$1001,0))</f>
        <v>tvanyutind@wix.com</v>
      </c>
      <c r="H14" s="1" t="str">
        <f t="array" ref="H14">XLOOKUP(C14,customers!$A$1:$A$1001,customers!$F$1:$F$1001,0)</f>
        <v>Richmond</v>
      </c>
    </row>
    <row r="15">
      <c r="A15" s="1" t="s">
        <v>46</v>
      </c>
      <c r="B15" s="2">
        <v>43973.0</v>
      </c>
      <c r="C15" s="1" t="s">
        <v>47</v>
      </c>
      <c r="D15" s="3" t="s">
        <v>48</v>
      </c>
      <c r="E15" s="1">
        <v>2.0</v>
      </c>
      <c r="F15" s="1" t="str">
        <f t="array" ref="F15">XLOOKUP(C15,customers!A14:A1014, customers!B14:B1014,0)</f>
        <v>Terence Vanyutin</v>
      </c>
      <c r="G15" s="1" t="str">
        <f t="array" ref="G15">IF(XLOOKUP(C16,customers!$A$1:$A$1001,customers!$C$1:$C$1001,0)=0,"",XLOOKUP(C16,customers!$A$1:$A$1001,customers!$C$1:$C$1001,0))</f>
        <v>ptrobee@wunderground.com</v>
      </c>
      <c r="H15" s="1" t="str">
        <f t="array" ref="H15">XLOOKUP(C15,customers!$A$1:$A$1001,customers!$F$1:$F$1001,0)</f>
        <v>Migrate</v>
      </c>
    </row>
    <row r="16">
      <c r="A16" s="1" t="s">
        <v>49</v>
      </c>
      <c r="B16" s="2">
        <v>44656.0</v>
      </c>
      <c r="C16" s="1" t="s">
        <v>50</v>
      </c>
      <c r="D16" s="3" t="s">
        <v>51</v>
      </c>
      <c r="E16" s="1">
        <v>3.0</v>
      </c>
      <c r="F16" s="1" t="str">
        <f t="array" ref="F16">XLOOKUP(C16,customers!A15:A1015, customers!B15:B1015,0)</f>
        <v>Patrice Trobe</v>
      </c>
      <c r="G16" s="1" t="str">
        <f t="array" ref="G16">IF(XLOOKUP(C17,customers!$A$1:$A$1001,customers!$C$1:$C$1001,0)=0,"",XLOOKUP(C17,customers!$A$1:$A$1001,customers!$C$1:$C$1001,0))</f>
        <v>loscroftf@ebay.co.uk</v>
      </c>
      <c r="H16" s="1" t="str">
        <f t="array" ref="H16">XLOOKUP(C16,customers!$A$1:$A$1001,customers!$F$1:$F$1001,0)</f>
        <v>Saint Louis</v>
      </c>
    </row>
    <row r="17">
      <c r="A17" s="1" t="s">
        <v>52</v>
      </c>
      <c r="B17" s="2">
        <v>44719.0</v>
      </c>
      <c r="C17" s="1" t="s">
        <v>53</v>
      </c>
      <c r="D17" s="3" t="s">
        <v>54</v>
      </c>
      <c r="E17" s="1">
        <v>5.0</v>
      </c>
      <c r="F17" s="1" t="str">
        <f t="array" ref="F17">XLOOKUP(C17,customers!A16:A1016, customers!B16:B1016,0)</f>
        <v>Llywellyn Oscroft</v>
      </c>
      <c r="G17" s="1" t="str">
        <f t="array" ref="G17">IF(XLOOKUP(C18,customers!$A$1:$A$1001,customers!$C$1:$C$1001,0)=0,"",XLOOKUP(C18,customers!$A$1:$A$1001,customers!$C$1:$C$1001,0))</f>
        <v>malabasterg@hexun.com</v>
      </c>
      <c r="H17" s="1" t="str">
        <f t="array" ref="H17">XLOOKUP(C17,customers!$A$1:$A$1001,customers!$F$1:$F$1001,0)</f>
        <v>Philadelphia</v>
      </c>
    </row>
    <row r="18">
      <c r="A18" s="1" t="s">
        <v>55</v>
      </c>
      <c r="B18" s="2">
        <v>43544.0</v>
      </c>
      <c r="C18" s="1" t="s">
        <v>56</v>
      </c>
      <c r="D18" s="3" t="s">
        <v>57</v>
      </c>
      <c r="E18" s="1">
        <v>6.0</v>
      </c>
      <c r="F18" s="1" t="str">
        <f t="array" ref="F18">XLOOKUP(C18,customers!A17:A1017, customers!B17:B1017,0)</f>
        <v>Minni Alabaster</v>
      </c>
      <c r="G18" s="1" t="str">
        <f t="array" ref="G18">IF(XLOOKUP(C19,customers!$A$1:$A$1001,customers!$C$1:$C$1001,0)=0,"",XLOOKUP(C19,customers!$A$1:$A$1001,customers!$C$1:$C$1001,0))</f>
        <v>rbroxuph@jimdo.com</v>
      </c>
      <c r="H18" s="1" t="str">
        <f t="array" ref="H18">XLOOKUP(C18,customers!$A$1:$A$1001,customers!$F$1:$F$1001,0)</f>
        <v>Portland</v>
      </c>
    </row>
    <row r="19">
      <c r="A19" s="1" t="s">
        <v>58</v>
      </c>
      <c r="B19" s="2">
        <v>43757.0</v>
      </c>
      <c r="C19" s="1" t="s">
        <v>59</v>
      </c>
      <c r="D19" s="3" t="s">
        <v>19</v>
      </c>
      <c r="E19" s="1">
        <v>6.0</v>
      </c>
      <c r="F19" s="1" t="str">
        <f t="array" ref="F19">XLOOKUP(C19,customers!A18:A1018, customers!B18:B1018,0)</f>
        <v>Rhianon Broxup</v>
      </c>
      <c r="G19" s="1" t="str">
        <f t="array" ref="G19">IF(XLOOKUP(C20,customers!$A$1:$A$1001,customers!$C$1:$C$1001,0)=0,"",XLOOKUP(C20,customers!$A$1:$A$1001,customers!$C$1:$C$1001,0))</f>
        <v>predfordi@ow.ly</v>
      </c>
      <c r="H19" s="1" t="str">
        <f t="array" ref="H19">XLOOKUP(C19,customers!$A$1:$A$1001,customers!$F$1:$F$1001,0)</f>
        <v>Houston</v>
      </c>
    </row>
    <row r="20">
      <c r="A20" s="1" t="s">
        <v>60</v>
      </c>
      <c r="B20" s="2">
        <v>43629.0</v>
      </c>
      <c r="C20" s="1" t="s">
        <v>61</v>
      </c>
      <c r="D20" s="3" t="s">
        <v>48</v>
      </c>
      <c r="E20" s="1">
        <v>4.0</v>
      </c>
      <c r="F20" s="1" t="str">
        <f t="array" ref="F20">XLOOKUP(C20,customers!A19:A1019, customers!B19:B1019,0)</f>
        <v>Pall Redford</v>
      </c>
      <c r="G20" s="1" t="str">
        <f t="array" ref="G20">IF(XLOOKUP(C21,customers!$A$1:$A$1001,customers!$C$1:$C$1001,0)=0,"",XLOOKUP(C21,customers!$A$1:$A$1001,customers!$C$1:$C$1001,0))</f>
        <v>acorradinoj@harvard.edu</v>
      </c>
      <c r="H20" s="1" t="str">
        <f t="array" ref="H20">XLOOKUP(C20,customers!$A$1:$A$1001,customers!$F$1:$F$1001,0)</f>
        <v>Caherconlish</v>
      </c>
    </row>
    <row r="21" ht="15.75" customHeight="1">
      <c r="A21" s="1" t="s">
        <v>62</v>
      </c>
      <c r="B21" s="2">
        <v>44169.0</v>
      </c>
      <c r="C21" s="1" t="s">
        <v>63</v>
      </c>
      <c r="D21" s="3" t="s">
        <v>57</v>
      </c>
      <c r="E21" s="1">
        <v>5.0</v>
      </c>
      <c r="F21" s="1" t="str">
        <f t="array" ref="F21">XLOOKUP(C21,customers!A20:A1020, customers!B20:B1020,0)</f>
        <v>Aurea Corradino</v>
      </c>
      <c r="G21" s="1" t="str">
        <f t="array" ref="G21">IF(XLOOKUP(C22,customers!$A$1:$A$1001,customers!$C$1:$C$1001,0)=0,"",XLOOKUP(C22,customers!$A$1:$A$1001,customers!$C$1:$C$1001,0))</f>
        <v>acorradinoj@harvard.edu</v>
      </c>
      <c r="H21" s="1" t="str">
        <f t="array" ref="H21">XLOOKUP(C21,customers!$A$1:$A$1001,customers!$F$1:$F$1001,0)</f>
        <v>New York City</v>
      </c>
    </row>
    <row r="22" ht="15.75" customHeight="1">
      <c r="A22" s="1" t="s">
        <v>62</v>
      </c>
      <c r="B22" s="2">
        <v>44169.0</v>
      </c>
      <c r="C22" s="1" t="s">
        <v>63</v>
      </c>
      <c r="D22" s="3" t="s">
        <v>64</v>
      </c>
      <c r="E22" s="1">
        <v>4.0</v>
      </c>
      <c r="F22" s="1" t="str">
        <f t="array" ref="F22">XLOOKUP(C22,customers!A21:A1021, customers!B21:B1021,0)</f>
        <v>Aurea Corradino</v>
      </c>
      <c r="G22" s="1" t="str">
        <f t="array" ref="G22">IF(XLOOKUP(C23,customers!$A$1:$A$1001,customers!$C$1:$C$1001,0)=0,"",XLOOKUP(C23,customers!$A$1:$A$1001,customers!$C$1:$C$1001,0))</f>
        <v>adavidowskyl@netvibes.com</v>
      </c>
      <c r="H22" s="1" t="str">
        <f t="array" ref="H22">XLOOKUP(C22,customers!$A$1:$A$1001,customers!$F$1:$F$1001,0)</f>
        <v>New York City</v>
      </c>
    </row>
    <row r="23" ht="15.75" customHeight="1">
      <c r="A23" s="1" t="s">
        <v>65</v>
      </c>
      <c r="B23" s="2">
        <v>44169.0</v>
      </c>
      <c r="C23" s="1" t="s">
        <v>66</v>
      </c>
      <c r="D23" s="3" t="s">
        <v>67</v>
      </c>
      <c r="E23" s="1">
        <v>6.0</v>
      </c>
      <c r="F23" s="1" t="str">
        <f t="array" ref="F23">XLOOKUP(C23,customers!A22:A1022, customers!B22:B1022,0)</f>
        <v>Avrit Davidowsky</v>
      </c>
      <c r="G23" s="1" t="str">
        <f t="array" ref="G23">IF(XLOOKUP(C24,customers!$A$1:$A$1001,customers!$C$1:$C$1001,0)=0,"",XLOOKUP(C24,customers!$A$1:$A$1001,customers!$C$1:$C$1001,0))</f>
        <v>aantukm@kickstarter.com</v>
      </c>
      <c r="H23" s="1" t="str">
        <f t="array" ref="H23">XLOOKUP(C23,customers!$A$1:$A$1001,customers!$F$1:$F$1001,0)</f>
        <v>Grand Rapids</v>
      </c>
    </row>
    <row r="24" ht="15.75" customHeight="1">
      <c r="A24" s="1" t="s">
        <v>68</v>
      </c>
      <c r="B24" s="2">
        <v>44218.0</v>
      </c>
      <c r="C24" s="1" t="s">
        <v>69</v>
      </c>
      <c r="D24" s="3" t="s">
        <v>54</v>
      </c>
      <c r="E24" s="1">
        <v>4.0</v>
      </c>
      <c r="F24" s="1" t="str">
        <f t="array" ref="F24">XLOOKUP(C24,customers!A23:A1023, customers!B23:B1023,0)</f>
        <v>Annabel Antuk</v>
      </c>
      <c r="G24" s="1" t="str">
        <f t="array" ref="G24">IF(XLOOKUP(C25,customers!$A$1:$A$1001,customers!$C$1:$C$1001,0)=0,"",XLOOKUP(C25,customers!$A$1:$A$1001,customers!$C$1:$C$1001,0))</f>
        <v>ikleinertn@timesonline.co.uk</v>
      </c>
      <c r="H24" s="1" t="str">
        <f t="array" ref="H24">XLOOKUP(C24,customers!$A$1:$A$1001,customers!$F$1:$F$1001,0)</f>
        <v>Punta Gorda</v>
      </c>
    </row>
    <row r="25" ht="15.75" customHeight="1">
      <c r="A25" s="1" t="s">
        <v>70</v>
      </c>
      <c r="B25" s="2">
        <v>44603.0</v>
      </c>
      <c r="C25" s="1" t="s">
        <v>71</v>
      </c>
      <c r="D25" s="3" t="s">
        <v>67</v>
      </c>
      <c r="E25" s="1">
        <v>4.0</v>
      </c>
      <c r="F25" s="1" t="str">
        <f t="array" ref="F25">XLOOKUP(C25,customers!A24:A1024, customers!B24:B1024,0)</f>
        <v>Iorgo Kleinert</v>
      </c>
      <c r="G25" s="1" t="str">
        <f t="array" ref="G25">IF(XLOOKUP(C26,customers!$A$1:$A$1001,customers!$C$1:$C$1001,0)=0,"",XLOOKUP(C26,customers!$A$1:$A$1001,customers!$C$1:$C$1001,0))</f>
        <v>cblofeldo@amazon.co.uk</v>
      </c>
      <c r="H25" s="1" t="str">
        <f t="array" ref="H25">XLOOKUP(C25,customers!$A$1:$A$1001,customers!$F$1:$F$1001,0)</f>
        <v>Vancouver</v>
      </c>
    </row>
    <row r="26" ht="15.75" customHeight="1">
      <c r="A26" s="1" t="s">
        <v>72</v>
      </c>
      <c r="B26" s="2">
        <v>44454.0</v>
      </c>
      <c r="C26" s="1" t="s">
        <v>73</v>
      </c>
      <c r="D26" s="3" t="s">
        <v>74</v>
      </c>
      <c r="E26" s="1">
        <v>1.0</v>
      </c>
      <c r="F26" s="1" t="str">
        <f t="array" ref="F26">XLOOKUP(C26,customers!A25:A1025, customers!B25:B1025,0)</f>
        <v>Chrisy Blofeld</v>
      </c>
      <c r="G26" s="1" t="str">
        <f t="array" ref="G26">IF(XLOOKUP(C27,customers!$A$1:$A$1001,customers!$C$1:$C$1001,0)=0,"",XLOOKUP(C27,customers!$A$1:$A$1001,customers!$C$1:$C$1001,0))</f>
        <v/>
      </c>
      <c r="H26" s="1" t="str">
        <f t="array" ref="H26">XLOOKUP(C26,customers!$A$1:$A$1001,customers!$F$1:$F$1001,0)</f>
        <v>Englewood</v>
      </c>
    </row>
    <row r="27" ht="15.75" customHeight="1">
      <c r="A27" s="1" t="s">
        <v>75</v>
      </c>
      <c r="B27" s="2">
        <v>44128.0</v>
      </c>
      <c r="C27" s="1" t="s">
        <v>76</v>
      </c>
      <c r="D27" s="3" t="s">
        <v>77</v>
      </c>
      <c r="E27" s="1">
        <v>3.0</v>
      </c>
      <c r="F27" s="1" t="str">
        <f t="array" ref="F27">XLOOKUP(C27,customers!A26:A1026, customers!B26:B1026,0)</f>
        <v>Culley Farris</v>
      </c>
      <c r="G27" s="1" t="str">
        <f t="array" ref="G27">IF(XLOOKUP(C28,customers!$A$1:$A$1001,customers!$C$1:$C$1001,0)=0,"",XLOOKUP(C28,customers!$A$1:$A$1001,customers!$C$1:$C$1001,0))</f>
        <v>sshalesq@umich.edu</v>
      </c>
      <c r="H27" s="1" t="str">
        <f t="array" ref="H27">XLOOKUP(C27,customers!$A$1:$A$1001,customers!$F$1:$F$1001,0)</f>
        <v>Punta Gorda</v>
      </c>
    </row>
    <row r="28" ht="15.75" customHeight="1">
      <c r="A28" s="1" t="s">
        <v>78</v>
      </c>
      <c r="B28" s="2">
        <v>43516.0</v>
      </c>
      <c r="C28" s="1" t="s">
        <v>79</v>
      </c>
      <c r="D28" s="3" t="s">
        <v>80</v>
      </c>
      <c r="E28" s="1">
        <v>4.0</v>
      </c>
      <c r="F28" s="1" t="str">
        <f t="array" ref="F28">XLOOKUP(C28,customers!A27:A1027, customers!B27:B1027,0)</f>
        <v>Selene Shales</v>
      </c>
      <c r="G28" s="1" t="str">
        <f t="array" ref="G28">IF(XLOOKUP(C29,customers!$A$1:$A$1001,customers!$C$1:$C$1001,0)=0,"",XLOOKUP(C29,customers!$A$1:$A$1001,customers!$C$1:$C$1001,0))</f>
        <v>vdanneilr@mtv.com</v>
      </c>
      <c r="H28" s="1" t="str">
        <f t="array" ref="H28">XLOOKUP(C28,customers!$A$1:$A$1001,customers!$F$1:$F$1001,0)</f>
        <v>Petaluma</v>
      </c>
    </row>
    <row r="29" ht="15.75" customHeight="1">
      <c r="A29" s="1" t="s">
        <v>81</v>
      </c>
      <c r="B29" s="2">
        <v>43746.0</v>
      </c>
      <c r="C29" s="1" t="s">
        <v>82</v>
      </c>
      <c r="D29" s="3" t="s">
        <v>57</v>
      </c>
      <c r="E29" s="1">
        <v>5.0</v>
      </c>
      <c r="F29" s="1" t="str">
        <f t="array" ref="F29">XLOOKUP(C29,customers!A28:A1028, customers!B28:B1028,0)</f>
        <v>Vivie Danneil</v>
      </c>
      <c r="G29" s="1" t="str">
        <f t="array" ref="G29">IF(XLOOKUP(C30,customers!$A$1:$A$1001,customers!$C$1:$C$1001,0)=0,"",XLOOKUP(C30,customers!$A$1:$A$1001,customers!$C$1:$C$1001,0))</f>
        <v>tnewburys@usda.gov</v>
      </c>
      <c r="H29" s="1" t="str">
        <f t="array" ref="H29">XLOOKUP(C29,customers!$A$1:$A$1001,customers!$F$1:$F$1001,0)</f>
        <v>Tralee</v>
      </c>
    </row>
    <row r="30" ht="15.75" customHeight="1">
      <c r="A30" s="1" t="s">
        <v>83</v>
      </c>
      <c r="B30" s="2">
        <v>44775.0</v>
      </c>
      <c r="C30" s="1" t="s">
        <v>84</v>
      </c>
      <c r="D30" s="3" t="s">
        <v>85</v>
      </c>
      <c r="E30" s="1">
        <v>3.0</v>
      </c>
      <c r="F30" s="1" t="str">
        <f t="array" ref="F30">XLOOKUP(C30,customers!A29:A1029, customers!B29:B1029,0)</f>
        <v>Theresita Newbury</v>
      </c>
      <c r="G30" s="1" t="str">
        <f t="array" ref="G30">IF(XLOOKUP(C31,customers!$A$1:$A$1001,customers!$C$1:$C$1001,0)=0,"",XLOOKUP(C31,customers!$A$1:$A$1001,customers!$C$1:$C$1001,0))</f>
        <v>mcalcuttt@baidu.com</v>
      </c>
      <c r="H30" s="1" t="str">
        <f t="array" ref="H30">XLOOKUP(C30,customers!$A$1:$A$1001,customers!$F$1:$F$1001,0)</f>
        <v>Clonskeagh</v>
      </c>
    </row>
    <row r="31" ht="15.75" customHeight="1">
      <c r="A31" s="1" t="s">
        <v>86</v>
      </c>
      <c r="B31" s="2">
        <v>43516.0</v>
      </c>
      <c r="C31" s="1" t="s">
        <v>87</v>
      </c>
      <c r="D31" s="3" t="s">
        <v>40</v>
      </c>
      <c r="E31" s="1">
        <v>4.0</v>
      </c>
      <c r="F31" s="1" t="str">
        <f t="array" ref="F31">XLOOKUP(C31,customers!A30:A1030, customers!B30:B1030,0)</f>
        <v>Mozelle Calcutt</v>
      </c>
      <c r="G31" s="1" t="str">
        <f t="array" ref="G31">IF(XLOOKUP(C32,customers!$A$1:$A$1001,customers!$C$1:$C$1001,0)=0,"",XLOOKUP(C32,customers!$A$1:$A$1001,customers!$C$1:$C$1001,0))</f>
        <v/>
      </c>
      <c r="H31" s="1" t="str">
        <f t="array" ref="H31">XLOOKUP(C31,customers!$A$1:$A$1001,customers!$F$1:$F$1001,0)</f>
        <v>Rathwire</v>
      </c>
    </row>
    <row r="32" ht="15.75" customHeight="1">
      <c r="A32" s="1" t="s">
        <v>88</v>
      </c>
      <c r="B32" s="2">
        <v>44464.0</v>
      </c>
      <c r="C32" s="1" t="s">
        <v>89</v>
      </c>
      <c r="D32" s="3" t="s">
        <v>90</v>
      </c>
      <c r="E32" s="1">
        <v>5.0</v>
      </c>
      <c r="F32" s="1" t="str">
        <f t="array" ref="F32">XLOOKUP(C32,customers!A31:A1031, customers!B31:B1031,0)</f>
        <v>Adrian Swaine</v>
      </c>
      <c r="G32" s="1" t="str">
        <f t="array" ref="G32">IF(XLOOKUP(C33,customers!$A$1:$A$1001,customers!$C$1:$C$1001,0)=0,"",XLOOKUP(C33,customers!$A$1:$A$1001,customers!$C$1:$C$1001,0))</f>
        <v/>
      </c>
      <c r="H32" s="1" t="str">
        <f t="array" ref="H32">XLOOKUP(C32,customers!$A$1:$A$1001,customers!$F$1:$F$1001,0)</f>
        <v>Aurora</v>
      </c>
    </row>
    <row r="33" ht="15.75" customHeight="1">
      <c r="A33" s="1" t="s">
        <v>88</v>
      </c>
      <c r="B33" s="2">
        <v>44464.0</v>
      </c>
      <c r="C33" s="1" t="s">
        <v>89</v>
      </c>
      <c r="D33" s="3" t="s">
        <v>85</v>
      </c>
      <c r="E33" s="1">
        <v>6.0</v>
      </c>
      <c r="F33" s="1" t="str">
        <f t="array" ref="F33">XLOOKUP(C33,customers!A32:A1032, customers!B32:B1032,0)</f>
        <v>Adrian Swaine</v>
      </c>
      <c r="G33" s="1" t="str">
        <f t="array" ref="G33">IF(XLOOKUP(C34,customers!$A$1:$A$1001,customers!$C$1:$C$1001,0)=0,"",XLOOKUP(C34,customers!$A$1:$A$1001,customers!$C$1:$C$1001,0))</f>
        <v/>
      </c>
      <c r="H33" s="1" t="str">
        <f t="array" ref="H33">XLOOKUP(C33,customers!$A$1:$A$1001,customers!$F$1:$F$1001,0)</f>
        <v>Aurora</v>
      </c>
    </row>
    <row r="34" ht="15.75" customHeight="1">
      <c r="A34" s="1" t="s">
        <v>88</v>
      </c>
      <c r="B34" s="2">
        <v>44464.0</v>
      </c>
      <c r="C34" s="1" t="s">
        <v>89</v>
      </c>
      <c r="D34" s="3" t="s">
        <v>91</v>
      </c>
      <c r="E34" s="1">
        <v>6.0</v>
      </c>
      <c r="F34" s="1">
        <f t="array" ref="F34">XLOOKUP(C34,customers!A33:A1033, customers!B33:B1033,0)</f>
        <v>0</v>
      </c>
      <c r="G34" s="1" t="str">
        <f t="array" ref="G34">IF(XLOOKUP(C35,customers!$A$1:$A$1001,customers!$C$1:$C$1001,0)=0,"",XLOOKUP(C35,customers!$A$1:$A$1001,customers!$C$1:$C$1001,0))</f>
        <v>ggatheralx@123-reg.co.uk</v>
      </c>
      <c r="H34" s="1" t="str">
        <f t="array" ref="H34">XLOOKUP(C34,customers!$A$1:$A$1001,customers!$F$1:$F$1001,0)</f>
        <v>Aurora</v>
      </c>
    </row>
    <row r="35" ht="15.75" customHeight="1">
      <c r="A35" s="1" t="s">
        <v>92</v>
      </c>
      <c r="B35" s="2">
        <v>44394.0</v>
      </c>
      <c r="C35" s="1" t="s">
        <v>93</v>
      </c>
      <c r="D35" s="3" t="s">
        <v>32</v>
      </c>
      <c r="E35" s="1">
        <v>5.0</v>
      </c>
      <c r="F35" s="1" t="str">
        <f t="array" ref="F35">XLOOKUP(C35,customers!A34:A1034, customers!B34:B1034,0)</f>
        <v>Gallard Gatheral</v>
      </c>
      <c r="G35" s="1" t="str">
        <f t="array" ref="G35">IF(XLOOKUP(C36,customers!$A$1:$A$1001,customers!$C$1:$C$1001,0)=0,"",XLOOKUP(C36,customers!$A$1:$A$1001,customers!$C$1:$C$1001,0))</f>
        <v>uwelberryy@ebay.co.uk</v>
      </c>
      <c r="H35" s="1" t="str">
        <f t="array" ref="H35">XLOOKUP(C35,customers!$A$1:$A$1001,customers!$F$1:$F$1001,0)</f>
        <v>Grand Forks</v>
      </c>
    </row>
    <row r="36" ht="15.75" customHeight="1">
      <c r="A36" s="1" t="s">
        <v>94</v>
      </c>
      <c r="B36" s="2">
        <v>44011.0</v>
      </c>
      <c r="C36" s="1" t="s">
        <v>95</v>
      </c>
      <c r="D36" s="3" t="s">
        <v>96</v>
      </c>
      <c r="E36" s="1">
        <v>6.0</v>
      </c>
      <c r="F36" s="1" t="str">
        <f t="array" ref="F36">XLOOKUP(C36,customers!A35:A1035, customers!B35:B1035,0)</f>
        <v>Una Welberry</v>
      </c>
      <c r="G36" s="1" t="str">
        <f t="array" ref="G36">IF(XLOOKUP(C37,customers!$A$1:$A$1001,customers!$C$1:$C$1001,0)=0,"",XLOOKUP(C37,customers!$A$1:$A$1001,customers!$C$1:$C$1001,0))</f>
        <v>feilhartz@who.int</v>
      </c>
      <c r="H36" s="1" t="str">
        <f t="array" ref="H36">XLOOKUP(C36,customers!$A$1:$A$1001,customers!$F$1:$F$1001,0)</f>
        <v>Upton</v>
      </c>
    </row>
    <row r="37" ht="15.75" customHeight="1">
      <c r="A37" s="1" t="s">
        <v>97</v>
      </c>
      <c r="B37" s="2">
        <v>44348.0</v>
      </c>
      <c r="C37" s="1" t="s">
        <v>98</v>
      </c>
      <c r="D37" s="3" t="s">
        <v>85</v>
      </c>
      <c r="E37" s="1">
        <v>6.0</v>
      </c>
      <c r="F37" s="1" t="str">
        <f t="array" ref="F37">XLOOKUP(C37,customers!A36:A1036, customers!B36:B1036,0)</f>
        <v>Faber Eilhart</v>
      </c>
      <c r="G37" s="1" t="str">
        <f t="array" ref="G37">IF(XLOOKUP(C38,customers!$A$1:$A$1001,customers!$C$1:$C$1001,0)=0,"",XLOOKUP(C38,customers!$A$1:$A$1001,customers!$C$1:$C$1001,0))</f>
        <v>zponting10@altervista.org</v>
      </c>
      <c r="H37" s="1" t="str">
        <f t="array" ref="H37">XLOOKUP(C37,customers!$A$1:$A$1001,customers!$F$1:$F$1001,0)</f>
        <v>Charleston</v>
      </c>
    </row>
    <row r="38" ht="15.75" customHeight="1">
      <c r="A38" s="1" t="s">
        <v>99</v>
      </c>
      <c r="B38" s="2">
        <v>44233.0</v>
      </c>
      <c r="C38" s="1" t="s">
        <v>100</v>
      </c>
      <c r="D38" s="3" t="s">
        <v>90</v>
      </c>
      <c r="E38" s="1">
        <v>2.0</v>
      </c>
      <c r="F38" s="1" t="str">
        <f t="array" ref="F38">XLOOKUP(C38,customers!A37:A1037, customers!B37:B1037,0)</f>
        <v>Zorina Ponting</v>
      </c>
      <c r="G38" s="1" t="str">
        <f t="array" ref="G38">IF(XLOOKUP(C39,customers!$A$1:$A$1001,customers!$C$1:$C$1001,0)=0,"",XLOOKUP(C39,customers!$A$1:$A$1001,customers!$C$1:$C$1001,0))</f>
        <v>sstrase11@booking.com</v>
      </c>
      <c r="H38" s="1" t="str">
        <f t="array" ref="H38">XLOOKUP(C38,customers!$A$1:$A$1001,customers!$F$1:$F$1001,0)</f>
        <v>Little Rock</v>
      </c>
    </row>
    <row r="39" ht="15.75" customHeight="1">
      <c r="A39" s="1" t="s">
        <v>101</v>
      </c>
      <c r="B39" s="2">
        <v>43580.0</v>
      </c>
      <c r="C39" s="1" t="s">
        <v>102</v>
      </c>
      <c r="D39" s="3" t="s">
        <v>96</v>
      </c>
      <c r="E39" s="1">
        <v>3.0</v>
      </c>
      <c r="F39" s="1" t="str">
        <f t="array" ref="F39">XLOOKUP(C39,customers!A38:A1038, customers!B38:B1038,0)</f>
        <v>Silvio Strase</v>
      </c>
      <c r="G39" s="1" t="str">
        <f t="array" ref="G39">IF(XLOOKUP(C40,customers!$A$1:$A$1001,customers!$C$1:$C$1001,0)=0,"",XLOOKUP(C40,customers!$A$1:$A$1001,customers!$C$1:$C$1001,0))</f>
        <v>dde12@unesco.org</v>
      </c>
      <c r="H39" s="1" t="str">
        <f t="array" ref="H39">XLOOKUP(C39,customers!$A$1:$A$1001,customers!$F$1:$F$1001,0)</f>
        <v>Denver</v>
      </c>
    </row>
    <row r="40" ht="15.75" customHeight="1">
      <c r="A40" s="1" t="s">
        <v>103</v>
      </c>
      <c r="B40" s="2">
        <v>43946.0</v>
      </c>
      <c r="C40" s="1" t="s">
        <v>104</v>
      </c>
      <c r="D40" s="3" t="s">
        <v>54</v>
      </c>
      <c r="E40" s="1">
        <v>5.0</v>
      </c>
      <c r="F40" s="1" t="str">
        <f t="array" ref="F40">XLOOKUP(C40,customers!A39:A1039, customers!B39:B1039,0)</f>
        <v>Dorie de la Tremoille</v>
      </c>
      <c r="G40" s="1" t="str">
        <f t="array" ref="G40">IF(XLOOKUP(C41,customers!$A$1:$A$1001,customers!$C$1:$C$1001,0)=0,"",XLOOKUP(C41,customers!$A$1:$A$1001,customers!$C$1:$C$1001,0))</f>
        <v/>
      </c>
      <c r="H40" s="1" t="str">
        <f t="array" ref="H40">XLOOKUP(C40,customers!$A$1:$A$1001,customers!$F$1:$F$1001,0)</f>
        <v>Minneapolis</v>
      </c>
    </row>
    <row r="41" ht="15.75" customHeight="1">
      <c r="A41" s="1" t="s">
        <v>105</v>
      </c>
      <c r="B41" s="2">
        <v>44524.0</v>
      </c>
      <c r="C41" s="1" t="s">
        <v>106</v>
      </c>
      <c r="D41" s="3" t="s">
        <v>15</v>
      </c>
      <c r="E41" s="1">
        <v>6.0</v>
      </c>
      <c r="F41" s="1" t="str">
        <f t="array" ref="F41">XLOOKUP(C41,customers!A40:A1040, customers!B40:B1040,0)</f>
        <v>Hy Zanetto</v>
      </c>
      <c r="G41" s="1" t="str">
        <f t="array" ref="G41">IF(XLOOKUP(C42,customers!$A$1:$A$1001,customers!$C$1:$C$1001,0)=0,"",XLOOKUP(C42,customers!$A$1:$A$1001,customers!$C$1:$C$1001,0))</f>
        <v/>
      </c>
      <c r="H41" s="1" t="str">
        <f t="array" ref="H41">XLOOKUP(C41,customers!$A$1:$A$1001,customers!$F$1:$F$1001,0)</f>
        <v>Tucson</v>
      </c>
    </row>
    <row r="42" ht="15.75" customHeight="1">
      <c r="A42" s="1" t="s">
        <v>107</v>
      </c>
      <c r="B42" s="2">
        <v>44305.0</v>
      </c>
      <c r="C42" s="1" t="s">
        <v>108</v>
      </c>
      <c r="D42" s="3" t="s">
        <v>109</v>
      </c>
      <c r="E42" s="1">
        <v>3.0</v>
      </c>
      <c r="F42" s="1" t="str">
        <f t="array" ref="F42">XLOOKUP(C42,customers!A41:A1041, customers!B41:B1041,0)</f>
        <v>Jessica McNess</v>
      </c>
      <c r="G42" s="1" t="str">
        <f t="array" ref="G42">IF(XLOOKUP(C43,customers!$A$1:$A$1001,customers!$C$1:$C$1001,0)=0,"",XLOOKUP(C43,customers!$A$1:$A$1001,customers!$C$1:$C$1001,0))</f>
        <v>lyeoland15@pbs.org</v>
      </c>
      <c r="H42" s="1" t="str">
        <f t="array" ref="H42">XLOOKUP(C42,customers!$A$1:$A$1001,customers!$F$1:$F$1001,0)</f>
        <v>New Orleans</v>
      </c>
    </row>
    <row r="43" ht="15.75" customHeight="1">
      <c r="A43" s="1" t="s">
        <v>110</v>
      </c>
      <c r="B43" s="2">
        <v>44749.0</v>
      </c>
      <c r="C43" s="1" t="s">
        <v>111</v>
      </c>
      <c r="D43" s="3" t="s">
        <v>64</v>
      </c>
      <c r="E43" s="1">
        <v>2.0</v>
      </c>
      <c r="F43" s="1" t="str">
        <f t="array" ref="F43">XLOOKUP(C43,customers!A42:A1042, customers!B42:B1042,0)</f>
        <v>Lorenzo Yeoland</v>
      </c>
      <c r="G43" s="1" t="str">
        <f t="array" ref="G43">IF(XLOOKUP(C44,customers!$A$1:$A$1001,customers!$C$1:$C$1001,0)=0,"",XLOOKUP(C44,customers!$A$1:$A$1001,customers!$C$1:$C$1001,0))</f>
        <v>atolworthy16@toplist.cz</v>
      </c>
      <c r="H43" s="1" t="str">
        <f t="array" ref="H43">XLOOKUP(C43,customers!$A$1:$A$1001,customers!$F$1:$F$1001,0)</f>
        <v>Hartford</v>
      </c>
    </row>
    <row r="44" ht="15.75" customHeight="1">
      <c r="A44" s="1" t="s">
        <v>112</v>
      </c>
      <c r="B44" s="2">
        <v>43607.0</v>
      </c>
      <c r="C44" s="1" t="s">
        <v>113</v>
      </c>
      <c r="D44" s="3" t="s">
        <v>114</v>
      </c>
      <c r="E44" s="1">
        <v>3.0</v>
      </c>
      <c r="F44" s="1" t="str">
        <f t="array" ref="F44">XLOOKUP(C44,customers!A43:A1043, customers!B43:B1043,0)</f>
        <v>Abigail Tolworthy</v>
      </c>
      <c r="G44" s="1" t="str">
        <f t="array" ref="G44">IF(XLOOKUP(C45,customers!$A$1:$A$1001,customers!$C$1:$C$1001,0)=0,"",XLOOKUP(C45,customers!$A$1:$A$1001,customers!$C$1:$C$1001,0))</f>
        <v/>
      </c>
      <c r="H44" s="1" t="str">
        <f t="array" ref="H44">XLOOKUP(C44,customers!$A$1:$A$1001,customers!$F$1:$F$1001,0)</f>
        <v>Ogden</v>
      </c>
    </row>
    <row r="45" ht="15.75" customHeight="1">
      <c r="A45" s="1" t="s">
        <v>115</v>
      </c>
      <c r="B45" s="2">
        <v>44473.0</v>
      </c>
      <c r="C45" s="1" t="s">
        <v>116</v>
      </c>
      <c r="D45" s="3" t="s">
        <v>117</v>
      </c>
      <c r="E45" s="1">
        <v>2.0</v>
      </c>
      <c r="F45" s="1" t="str">
        <f t="array" ref="F45">XLOOKUP(C45,customers!A44:A1044, customers!B44:B1044,0)</f>
        <v>Maurie Bartol</v>
      </c>
      <c r="G45" s="1" t="str">
        <f t="array" ref="G45">IF(XLOOKUP(C46,customers!$A$1:$A$1001,customers!$C$1:$C$1001,0)=0,"",XLOOKUP(C46,customers!$A$1:$A$1001,customers!$C$1:$C$1001,0))</f>
        <v>obaudassi18@seesaa.net</v>
      </c>
      <c r="H45" s="1" t="str">
        <f t="array" ref="H45">XLOOKUP(C45,customers!$A$1:$A$1001,customers!$F$1:$F$1001,0)</f>
        <v>Boston</v>
      </c>
    </row>
    <row r="46" ht="15.75" customHeight="1">
      <c r="A46" s="1" t="s">
        <v>118</v>
      </c>
      <c r="B46" s="2">
        <v>43932.0</v>
      </c>
      <c r="C46" s="1" t="s">
        <v>119</v>
      </c>
      <c r="D46" s="3" t="s">
        <v>16</v>
      </c>
      <c r="E46" s="1">
        <v>2.0</v>
      </c>
      <c r="F46" s="1" t="str">
        <f t="array" ref="F46">XLOOKUP(C46,customers!A45:A1045, customers!B45:B1045,0)</f>
        <v>Olag Baudassi</v>
      </c>
      <c r="G46" s="1" t="str">
        <f t="array" ref="G46">IF(XLOOKUP(C47,customers!$A$1:$A$1001,customers!$C$1:$C$1001,0)=0,"",XLOOKUP(C47,customers!$A$1:$A$1001,customers!$C$1:$C$1001,0))</f>
        <v>pkingsbury19@comcast.net</v>
      </c>
      <c r="H46" s="1" t="str">
        <f t="array" ref="H46">XLOOKUP(C46,customers!$A$1:$A$1001,customers!$F$1:$F$1001,0)</f>
        <v>Rochester</v>
      </c>
    </row>
    <row r="47" ht="15.75" customHeight="1">
      <c r="A47" s="1" t="s">
        <v>120</v>
      </c>
      <c r="B47" s="2">
        <v>44592.0</v>
      </c>
      <c r="C47" s="1" t="s">
        <v>121</v>
      </c>
      <c r="D47" s="3" t="s">
        <v>122</v>
      </c>
      <c r="E47" s="1">
        <v>6.0</v>
      </c>
      <c r="F47" s="1" t="str">
        <f t="array" ref="F47">XLOOKUP(C47,customers!A46:A1046, customers!B46:B1046,0)</f>
        <v>Petey Kingsbury</v>
      </c>
      <c r="G47" s="1" t="str">
        <f t="array" ref="G47">IF(XLOOKUP(C48,customers!$A$1:$A$1001,customers!$C$1:$C$1001,0)=0,"",XLOOKUP(C48,customers!$A$1:$A$1001,customers!$C$1:$C$1001,0))</f>
        <v/>
      </c>
      <c r="H47" s="1" t="str">
        <f t="array" ref="H47">XLOOKUP(C47,customers!$A$1:$A$1001,customers!$F$1:$F$1001,0)</f>
        <v>Bronx</v>
      </c>
    </row>
    <row r="48" ht="15.75" customHeight="1">
      <c r="A48" s="1" t="s">
        <v>123</v>
      </c>
      <c r="B48" s="2">
        <v>43776.0</v>
      </c>
      <c r="C48" s="1" t="s">
        <v>124</v>
      </c>
      <c r="D48" s="3" t="s">
        <v>125</v>
      </c>
      <c r="E48" s="1">
        <v>2.0</v>
      </c>
      <c r="F48" s="1" t="str">
        <f t="array" ref="F48">XLOOKUP(C48,customers!A47:A1047, customers!B47:B1047,0)</f>
        <v>Donna Baskeyfied</v>
      </c>
      <c r="G48" s="1" t="str">
        <f t="array" ref="G48">IF(XLOOKUP(C49,customers!$A$1:$A$1001,customers!$C$1:$C$1001,0)=0,"",XLOOKUP(C49,customers!$A$1:$A$1001,customers!$C$1:$C$1001,0))</f>
        <v>acurley1b@hao123.com</v>
      </c>
      <c r="H48" s="1" t="str">
        <f t="array" ref="H48">XLOOKUP(C48,customers!$A$1:$A$1001,customers!$F$1:$F$1001,0)</f>
        <v>Birmingham</v>
      </c>
    </row>
    <row r="49" ht="15.75" customHeight="1">
      <c r="A49" s="1" t="s">
        <v>126</v>
      </c>
      <c r="B49" s="2">
        <v>43644.0</v>
      </c>
      <c r="C49" s="1" t="s">
        <v>127</v>
      </c>
      <c r="D49" s="3" t="s">
        <v>128</v>
      </c>
      <c r="E49" s="1">
        <v>2.0</v>
      </c>
      <c r="F49" s="1" t="str">
        <f t="array" ref="F49">XLOOKUP(C49,customers!A48:A1048, customers!B48:B1048,0)</f>
        <v>Arda Curley</v>
      </c>
      <c r="G49" s="1" t="str">
        <f t="array" ref="G49">IF(XLOOKUP(C50,customers!$A$1:$A$1001,customers!$C$1:$C$1001,0)=0,"",XLOOKUP(C50,customers!$A$1:$A$1001,customers!$C$1:$C$1001,0))</f>
        <v>rmcgilvary1c@tamu.edu</v>
      </c>
      <c r="H49" s="1" t="str">
        <f t="array" ref="H49">XLOOKUP(C49,customers!$A$1:$A$1001,customers!$F$1:$F$1001,0)</f>
        <v>San Bernardino</v>
      </c>
    </row>
    <row r="50" ht="15.75" customHeight="1">
      <c r="A50" s="1" t="s">
        <v>129</v>
      </c>
      <c r="B50" s="2">
        <v>44085.0</v>
      </c>
      <c r="C50" s="1" t="s">
        <v>130</v>
      </c>
      <c r="D50" s="3" t="s">
        <v>131</v>
      </c>
      <c r="E50" s="1">
        <v>4.0</v>
      </c>
      <c r="F50" s="1" t="str">
        <f t="array" ref="F50">XLOOKUP(C50,customers!A49:A1049, customers!B49:B1049,0)</f>
        <v>Raynor McGilvary</v>
      </c>
      <c r="G50" s="1" t="str">
        <f t="array" ref="G50">IF(XLOOKUP(C51,customers!$A$1:$A$1001,customers!$C$1:$C$1001,0)=0,"",XLOOKUP(C51,customers!$A$1:$A$1001,customers!$C$1:$C$1001,0))</f>
        <v>ipikett1d@xinhuanet.com</v>
      </c>
      <c r="H50" s="1" t="str">
        <f t="array" ref="H50">XLOOKUP(C50,customers!$A$1:$A$1001,customers!$F$1:$F$1001,0)</f>
        <v>Norfolk</v>
      </c>
    </row>
    <row r="51" ht="15.75" customHeight="1">
      <c r="A51" s="1" t="s">
        <v>132</v>
      </c>
      <c r="B51" s="2">
        <v>44790.0</v>
      </c>
      <c r="C51" s="1" t="s">
        <v>133</v>
      </c>
      <c r="D51" s="3" t="s">
        <v>19</v>
      </c>
      <c r="E51" s="1">
        <v>3.0</v>
      </c>
      <c r="F51" s="1" t="str">
        <f t="array" ref="F51">XLOOKUP(C51,customers!A50:A1050, customers!B50:B1050,0)</f>
        <v>Isis Pikett</v>
      </c>
      <c r="G51" s="1" t="str">
        <f t="array" ref="G51">IF(XLOOKUP(C52,customers!$A$1:$A$1001,customers!$C$1:$C$1001,0)=0,"",XLOOKUP(C52,customers!$A$1:$A$1001,customers!$C$1:$C$1001,0))</f>
        <v>ibouldon1e@gizmodo.com</v>
      </c>
      <c r="H51" s="1" t="str">
        <f t="array" ref="H51">XLOOKUP(C51,customers!$A$1:$A$1001,customers!$F$1:$F$1001,0)</f>
        <v>Washington</v>
      </c>
    </row>
    <row r="52" ht="15.75" customHeight="1">
      <c r="A52" s="1" t="s">
        <v>134</v>
      </c>
      <c r="B52" s="2">
        <v>44792.0</v>
      </c>
      <c r="C52" s="1" t="s">
        <v>135</v>
      </c>
      <c r="D52" s="3" t="s">
        <v>136</v>
      </c>
      <c r="E52" s="1">
        <v>2.0</v>
      </c>
      <c r="F52" s="1" t="str">
        <f t="array" ref="F52">XLOOKUP(C52,customers!A51:A1051, customers!B51:B1051,0)</f>
        <v>Inger Bouldon</v>
      </c>
      <c r="G52" s="1" t="str">
        <f t="array" ref="G52">IF(XLOOKUP(C53,customers!$A$1:$A$1001,customers!$C$1:$C$1001,0)=0,"",XLOOKUP(C53,customers!$A$1:$A$1001,customers!$C$1:$C$1001,0))</f>
        <v>kflanders1f@over-blog.com</v>
      </c>
      <c r="H52" s="1" t="str">
        <f t="array" ref="H52">XLOOKUP(C52,customers!$A$1:$A$1001,customers!$F$1:$F$1001,0)</f>
        <v>Fort Lauderdale</v>
      </c>
    </row>
    <row r="53" ht="15.75" customHeight="1">
      <c r="A53" s="1" t="s">
        <v>137</v>
      </c>
      <c r="B53" s="2">
        <v>43600.0</v>
      </c>
      <c r="C53" s="1" t="s">
        <v>138</v>
      </c>
      <c r="D53" s="3" t="s">
        <v>117</v>
      </c>
      <c r="E53" s="1">
        <v>4.0</v>
      </c>
      <c r="F53" s="1" t="str">
        <f t="array" ref="F53">XLOOKUP(C53,customers!A52:A1052, customers!B52:B1052,0)</f>
        <v>Karry Flanders</v>
      </c>
      <c r="G53" s="1" t="str">
        <f t="array" ref="G53">IF(XLOOKUP(C54,customers!$A$1:$A$1001,customers!$C$1:$C$1001,0)=0,"",XLOOKUP(C54,customers!$A$1:$A$1001,customers!$C$1:$C$1001,0))</f>
        <v>hmattioli1g@webmd.com</v>
      </c>
      <c r="H53" s="1" t="str">
        <f t="array" ref="H53">XLOOKUP(C53,customers!$A$1:$A$1001,customers!$F$1:$F$1001,0)</f>
        <v>Crumlin</v>
      </c>
    </row>
    <row r="54" ht="15.75" customHeight="1">
      <c r="A54" s="1" t="s">
        <v>139</v>
      </c>
      <c r="B54" s="2">
        <v>43719.0</v>
      </c>
      <c r="C54" s="1" t="s">
        <v>140</v>
      </c>
      <c r="D54" s="3" t="s">
        <v>35</v>
      </c>
      <c r="E54" s="1">
        <v>5.0</v>
      </c>
      <c r="F54" s="1" t="str">
        <f t="array" ref="F54">XLOOKUP(C54,customers!A53:A1053, customers!B53:B1053,0)</f>
        <v>Hartley Mattioli</v>
      </c>
      <c r="G54" s="1" t="str">
        <f t="array" ref="G54">IF(XLOOKUP(C55,customers!$A$1:$A$1001,customers!$C$1:$C$1001,0)=0,"",XLOOKUP(C55,customers!$A$1:$A$1001,customers!$C$1:$C$1001,0))</f>
        <v>hmattioli1g@webmd.com</v>
      </c>
      <c r="H54" s="1" t="str">
        <f t="array" ref="H54">XLOOKUP(C54,customers!$A$1:$A$1001,customers!$F$1:$F$1001,0)</f>
        <v>Kinloch</v>
      </c>
    </row>
    <row r="55" ht="15.75" customHeight="1">
      <c r="A55" s="1" t="s">
        <v>139</v>
      </c>
      <c r="B55" s="2">
        <v>43719.0</v>
      </c>
      <c r="C55" s="1" t="s">
        <v>140</v>
      </c>
      <c r="D55" s="3" t="s">
        <v>117</v>
      </c>
      <c r="E55" s="1">
        <v>2.0</v>
      </c>
      <c r="F55" s="1" t="str">
        <f t="array" ref="F55">XLOOKUP(C55,customers!A54:A1054, customers!B54:B1054,0)</f>
        <v>Hartley Mattioli</v>
      </c>
      <c r="G55" s="1" t="str">
        <f t="array" ref="G55">IF(XLOOKUP(C56,customers!$A$1:$A$1001,customers!$C$1:$C$1001,0)=0,"",XLOOKUP(C56,customers!$A$1:$A$1001,customers!$C$1:$C$1001,0))</f>
        <v>agillard1i@issuu.com</v>
      </c>
      <c r="H55" s="1" t="str">
        <f t="array" ref="H55">XLOOKUP(C55,customers!$A$1:$A$1001,customers!$F$1:$F$1001,0)</f>
        <v>Kinloch</v>
      </c>
    </row>
    <row r="56" ht="15.75" customHeight="1">
      <c r="A56" s="1" t="s">
        <v>141</v>
      </c>
      <c r="B56" s="2">
        <v>44271.0</v>
      </c>
      <c r="C56" s="1" t="s">
        <v>142</v>
      </c>
      <c r="D56" s="3" t="s">
        <v>109</v>
      </c>
      <c r="E56" s="1">
        <v>5.0</v>
      </c>
      <c r="F56" s="1" t="str">
        <f t="array" ref="F56">XLOOKUP(C56,customers!A55:A1055, customers!B55:B1055,0)</f>
        <v>Archambault Gillard</v>
      </c>
      <c r="G56" s="1" t="str">
        <f t="array" ref="G56">IF(XLOOKUP(C57,customers!$A$1:$A$1001,customers!$C$1:$C$1001,0)=0,"",XLOOKUP(C57,customers!$A$1:$A$1001,customers!$C$1:$C$1001,0))</f>
        <v/>
      </c>
      <c r="H56" s="1" t="str">
        <f t="array" ref="H56">XLOOKUP(C56,customers!$A$1:$A$1001,customers!$F$1:$F$1001,0)</f>
        <v>Toledo</v>
      </c>
    </row>
    <row r="57" ht="15.75" customHeight="1">
      <c r="A57" s="1" t="s">
        <v>143</v>
      </c>
      <c r="B57" s="2">
        <v>44168.0</v>
      </c>
      <c r="C57" s="1" t="s">
        <v>144</v>
      </c>
      <c r="D57" s="3" t="s">
        <v>145</v>
      </c>
      <c r="E57" s="1">
        <v>3.0</v>
      </c>
      <c r="F57" s="1" t="str">
        <f t="array" ref="F57">XLOOKUP(C57,customers!A56:A1056, customers!B56:B1056,0)</f>
        <v>Salomo Cushworth</v>
      </c>
      <c r="G57" s="1" t="str">
        <f t="array" ref="G57">IF(XLOOKUP(C58,customers!$A$1:$A$1001,customers!$C$1:$C$1001,0)=0,"",XLOOKUP(C58,customers!$A$1:$A$1001,customers!$C$1:$C$1001,0))</f>
        <v>tgrizard1k@odnoklassniki.ru</v>
      </c>
      <c r="H57" s="1" t="str">
        <f t="array" ref="H57">XLOOKUP(C57,customers!$A$1:$A$1001,customers!$F$1:$F$1001,0)</f>
        <v>Trenton</v>
      </c>
    </row>
    <row r="58" ht="15.75" customHeight="1">
      <c r="A58" s="1" t="s">
        <v>146</v>
      </c>
      <c r="B58" s="2">
        <v>43857.0</v>
      </c>
      <c r="C58" s="1" t="s">
        <v>147</v>
      </c>
      <c r="D58" s="3" t="s">
        <v>64</v>
      </c>
      <c r="E58" s="1">
        <v>3.0</v>
      </c>
      <c r="F58" s="1" t="str">
        <f t="array" ref="F58">XLOOKUP(C58,customers!A57:A1057, customers!B57:B1057,0)</f>
        <v>Theda Grizard</v>
      </c>
      <c r="G58" s="1" t="str">
        <f t="array" ref="G58">IF(XLOOKUP(C59,customers!$A$1:$A$1001,customers!$C$1:$C$1001,0)=0,"",XLOOKUP(C59,customers!$A$1:$A$1001,customers!$C$1:$C$1001,0))</f>
        <v>rrelton1l@stanford.edu</v>
      </c>
      <c r="H58" s="1" t="str">
        <f t="array" ref="H58">XLOOKUP(C58,customers!$A$1:$A$1001,customers!$F$1:$F$1001,0)</f>
        <v>Tampa</v>
      </c>
    </row>
    <row r="59" ht="15.75" customHeight="1">
      <c r="A59" s="1" t="s">
        <v>148</v>
      </c>
      <c r="B59" s="2">
        <v>44759.0</v>
      </c>
      <c r="C59" s="1" t="s">
        <v>149</v>
      </c>
      <c r="D59" s="3" t="s">
        <v>150</v>
      </c>
      <c r="E59" s="1">
        <v>4.0</v>
      </c>
      <c r="F59" s="1" t="str">
        <f t="array" ref="F59">XLOOKUP(C59,customers!A58:A1058, customers!B58:B1058,0)</f>
        <v>Rozele Relton</v>
      </c>
      <c r="G59" s="1" t="str">
        <f t="array" ref="G59">IF(XLOOKUP(C60,customers!$A$1:$A$1001,customers!$C$1:$C$1001,0)=0,"",XLOOKUP(C60,customers!$A$1:$A$1001,customers!$C$1:$C$1001,0))</f>
        <v/>
      </c>
      <c r="H59" s="1" t="str">
        <f t="array" ref="H59">XLOOKUP(C59,customers!$A$1:$A$1001,customers!$F$1:$F$1001,0)</f>
        <v>Pensacola</v>
      </c>
    </row>
    <row r="60" ht="15.75" customHeight="1">
      <c r="A60" s="1" t="s">
        <v>151</v>
      </c>
      <c r="B60" s="2">
        <v>44624.0</v>
      </c>
      <c r="C60" s="1" t="s">
        <v>152</v>
      </c>
      <c r="D60" s="3" t="s">
        <v>122</v>
      </c>
      <c r="E60" s="1">
        <v>3.0</v>
      </c>
      <c r="F60" s="1" t="str">
        <f t="array" ref="F60">XLOOKUP(C60,customers!A59:A1059, customers!B59:B1059,0)</f>
        <v>Willa Rolling</v>
      </c>
      <c r="G60" s="1" t="str">
        <f t="array" ref="G60">IF(XLOOKUP(C61,customers!$A$1:$A$1001,customers!$C$1:$C$1001,0)=0,"",XLOOKUP(C61,customers!$A$1:$A$1001,customers!$C$1:$C$1001,0))</f>
        <v>sgilroy1n@eepurl.com</v>
      </c>
      <c r="H60" s="1" t="str">
        <f t="array" ref="H60">XLOOKUP(C60,customers!$A$1:$A$1001,customers!$F$1:$F$1001,0)</f>
        <v>Zephyrhills</v>
      </c>
    </row>
    <row r="61" ht="15.75" customHeight="1">
      <c r="A61" s="1" t="s">
        <v>153</v>
      </c>
      <c r="B61" s="2">
        <v>44537.0</v>
      </c>
      <c r="C61" s="1" t="s">
        <v>154</v>
      </c>
      <c r="D61" s="3" t="s">
        <v>91</v>
      </c>
      <c r="E61" s="1">
        <v>3.0</v>
      </c>
      <c r="F61" s="1" t="str">
        <f t="array" ref="F61">XLOOKUP(C61,customers!A60:A1060, customers!B60:B1060,0)</f>
        <v>Stanislaus Gilroy</v>
      </c>
      <c r="G61" s="1" t="str">
        <f t="array" ref="G61">IF(XLOOKUP(C62,customers!$A$1:$A$1001,customers!$C$1:$C$1001,0)=0,"",XLOOKUP(C62,customers!$A$1:$A$1001,customers!$C$1:$C$1001,0))</f>
        <v>ccottingham1o@wikipedia.org</v>
      </c>
      <c r="H61" s="1" t="str">
        <f t="array" ref="H61">XLOOKUP(C61,customers!$A$1:$A$1001,customers!$F$1:$F$1001,0)</f>
        <v>Saint Paul</v>
      </c>
    </row>
    <row r="62" ht="15.75" customHeight="1">
      <c r="A62" s="1" t="s">
        <v>155</v>
      </c>
      <c r="B62" s="2">
        <v>44252.0</v>
      </c>
      <c r="C62" s="1" t="s">
        <v>156</v>
      </c>
      <c r="D62" s="3" t="s">
        <v>131</v>
      </c>
      <c r="E62" s="1">
        <v>5.0</v>
      </c>
      <c r="F62" s="1" t="str">
        <f t="array" ref="F62">XLOOKUP(C62,customers!A61:A1061, customers!B61:B1061,0)</f>
        <v>Correy Cottingham</v>
      </c>
      <c r="G62" s="1" t="str">
        <f t="array" ref="G62">IF(XLOOKUP(C63,customers!$A$1:$A$1001,customers!$C$1:$C$1001,0)=0,"",XLOOKUP(C63,customers!$A$1:$A$1001,customers!$C$1:$C$1001,0))</f>
        <v/>
      </c>
      <c r="H62" s="1" t="str">
        <f t="array" ref="H62">XLOOKUP(C62,customers!$A$1:$A$1001,customers!$F$1:$F$1001,0)</f>
        <v>Fort Wayne</v>
      </c>
    </row>
    <row r="63" ht="15.75" customHeight="1">
      <c r="A63" s="1" t="s">
        <v>157</v>
      </c>
      <c r="B63" s="2">
        <v>43521.0</v>
      </c>
      <c r="C63" s="1" t="s">
        <v>158</v>
      </c>
      <c r="D63" s="3" t="s">
        <v>159</v>
      </c>
      <c r="E63" s="1">
        <v>5.0</v>
      </c>
      <c r="F63" s="1" t="str">
        <f t="array" ref="F63">XLOOKUP(C63,customers!A62:A1062, customers!B62:B1062,0)</f>
        <v>Pammi Endacott</v>
      </c>
      <c r="G63" s="1" t="str">
        <f t="array" ref="G63">IF(XLOOKUP(C64,customers!$A$1:$A$1001,customers!$C$1:$C$1001,0)=0,"",XLOOKUP(C64,customers!$A$1:$A$1001,customers!$C$1:$C$1001,0))</f>
        <v/>
      </c>
      <c r="H63" s="1" t="str">
        <f t="array" ref="H63">XLOOKUP(C63,customers!$A$1:$A$1001,customers!$F$1:$F$1001,0)</f>
        <v>Wootton</v>
      </c>
    </row>
    <row r="64" ht="15.75" customHeight="1">
      <c r="A64" s="1" t="s">
        <v>160</v>
      </c>
      <c r="B64" s="2">
        <v>43505.0</v>
      </c>
      <c r="C64" s="1" t="s">
        <v>161</v>
      </c>
      <c r="D64" s="3" t="s">
        <v>32</v>
      </c>
      <c r="E64" s="1">
        <v>5.0</v>
      </c>
      <c r="F64" s="1" t="str">
        <f t="array" ref="F64">XLOOKUP(C64,customers!A63:A1063, customers!B63:B1063,0)</f>
        <v>Nona Linklater</v>
      </c>
      <c r="G64" s="1" t="str">
        <f t="array" ref="G64">IF(XLOOKUP(C65,customers!$A$1:$A$1001,customers!$C$1:$C$1001,0)=0,"",XLOOKUP(C65,customers!$A$1:$A$1001,customers!$C$1:$C$1001,0))</f>
        <v>adykes1r@eventbrite.com</v>
      </c>
      <c r="H64" s="1" t="str">
        <f t="array" ref="H64">XLOOKUP(C64,customers!$A$1:$A$1001,customers!$F$1:$F$1001,0)</f>
        <v>Naples</v>
      </c>
    </row>
    <row r="65" ht="15.75" customHeight="1">
      <c r="A65" s="1" t="s">
        <v>162</v>
      </c>
      <c r="B65" s="2">
        <v>43868.0</v>
      </c>
      <c r="C65" s="1" t="s">
        <v>163</v>
      </c>
      <c r="D65" s="3" t="s">
        <v>80</v>
      </c>
      <c r="E65" s="1">
        <v>1.0</v>
      </c>
      <c r="F65" s="1" t="str">
        <f t="array" ref="F65">XLOOKUP(C65,customers!A64:A1064, customers!B64:B1064,0)</f>
        <v>Annadiane Dykes</v>
      </c>
      <c r="G65" s="1" t="str">
        <f t="array" ref="G65">IF(XLOOKUP(C66,customers!$A$1:$A$1001,customers!$C$1:$C$1001,0)=0,"",XLOOKUP(C66,customers!$A$1:$A$1001,customers!$C$1:$C$1001,0))</f>
        <v/>
      </c>
      <c r="H65" s="1" t="str">
        <f t="array" ref="H65">XLOOKUP(C65,customers!$A$1:$A$1001,customers!$F$1:$F$1001,0)</f>
        <v>Chicago</v>
      </c>
    </row>
    <row r="66" ht="15.75" customHeight="1">
      <c r="A66" s="1" t="s">
        <v>164</v>
      </c>
      <c r="B66" s="2">
        <v>43913.0</v>
      </c>
      <c r="C66" s="1" t="s">
        <v>165</v>
      </c>
      <c r="D66" s="3" t="s">
        <v>35</v>
      </c>
      <c r="E66" s="1">
        <v>6.0</v>
      </c>
      <c r="F66" s="1" t="str">
        <f t="array" ref="F66">XLOOKUP(C66,customers!A65:A1065, customers!B65:B1065,0)</f>
        <v>Felecia Dodgson</v>
      </c>
      <c r="G66" s="1" t="str">
        <f t="array" ref="G66">IF(XLOOKUP(C67,customers!$A$1:$A$1001,customers!$C$1:$C$1001,0)=0,"",XLOOKUP(C67,customers!$A$1:$A$1001,customers!$C$1:$C$1001,0))</f>
        <v>acockrem1t@engadget.com</v>
      </c>
      <c r="H66" s="1" t="str">
        <f t="array" ref="H66">XLOOKUP(C66,customers!$A$1:$A$1001,customers!$F$1:$F$1001,0)</f>
        <v>Newark</v>
      </c>
    </row>
    <row r="67" ht="15.75" customHeight="1">
      <c r="A67" s="1" t="s">
        <v>166</v>
      </c>
      <c r="B67" s="2">
        <v>44626.0</v>
      </c>
      <c r="C67" s="1" t="s">
        <v>167</v>
      </c>
      <c r="D67" s="3" t="s">
        <v>48</v>
      </c>
      <c r="E67" s="1">
        <v>4.0</v>
      </c>
      <c r="F67" s="1" t="str">
        <f t="array" ref="F67">XLOOKUP(C67,customers!A66:A1066, customers!B66:B1066,0)</f>
        <v>Angelia Cockrem</v>
      </c>
      <c r="G67" s="1" t="str">
        <f t="array" ref="G67">IF(XLOOKUP(C68,customers!$A$1:$A$1001,customers!$C$1:$C$1001,0)=0,"",XLOOKUP(C68,customers!$A$1:$A$1001,customers!$C$1:$C$1001,0))</f>
        <v>bumpleby1u@soundcloud.com</v>
      </c>
      <c r="H67" s="1" t="str">
        <f t="array" ref="H67">XLOOKUP(C67,customers!$A$1:$A$1001,customers!$F$1:$F$1001,0)</f>
        <v>Vienna</v>
      </c>
    </row>
    <row r="68" ht="15.75" customHeight="1">
      <c r="A68" s="1" t="s">
        <v>168</v>
      </c>
      <c r="B68" s="2">
        <v>44666.0</v>
      </c>
      <c r="C68" s="1" t="s">
        <v>169</v>
      </c>
      <c r="D68" s="3" t="s">
        <v>170</v>
      </c>
      <c r="E68" s="1">
        <v>1.0</v>
      </c>
      <c r="F68" s="1" t="str">
        <f t="array" ref="F68">XLOOKUP(C68,customers!A67:A1067, customers!B67:B1067,0)</f>
        <v>Belvia Umpleby</v>
      </c>
      <c r="G68" s="1" t="str">
        <f t="array" ref="G68">IF(XLOOKUP(C69,customers!$A$1:$A$1001,customers!$C$1:$C$1001,0)=0,"",XLOOKUP(C69,customers!$A$1:$A$1001,customers!$C$1:$C$1001,0))</f>
        <v>nsaleway1v@dedecms.com</v>
      </c>
      <c r="H68" s="1" t="str">
        <f t="array" ref="H68">XLOOKUP(C68,customers!$A$1:$A$1001,customers!$F$1:$F$1001,0)</f>
        <v>Fort Worth</v>
      </c>
    </row>
    <row r="69" ht="15.75" customHeight="1">
      <c r="A69" s="1" t="s">
        <v>171</v>
      </c>
      <c r="B69" s="2">
        <v>44519.0</v>
      </c>
      <c r="C69" s="1" t="s">
        <v>172</v>
      </c>
      <c r="D69" s="3" t="s">
        <v>32</v>
      </c>
      <c r="E69" s="1">
        <v>2.0</v>
      </c>
      <c r="F69" s="1" t="str">
        <f t="array" ref="F69">XLOOKUP(C69,customers!A68:A1068, customers!B68:B1068,0)</f>
        <v>Nat Saleway</v>
      </c>
      <c r="G69" s="1" t="str">
        <f t="array" ref="G69">IF(XLOOKUP(C70,customers!$A$1:$A$1001,customers!$C$1:$C$1001,0)=0,"",XLOOKUP(C70,customers!$A$1:$A$1001,customers!$C$1:$C$1001,0))</f>
        <v>hgoulter1w@abc.net.au</v>
      </c>
      <c r="H69" s="1" t="str">
        <f t="array" ref="H69">XLOOKUP(C69,customers!$A$1:$A$1001,customers!$F$1:$F$1001,0)</f>
        <v>Burbank</v>
      </c>
    </row>
    <row r="70" ht="15.75" customHeight="1">
      <c r="A70" s="1" t="s">
        <v>173</v>
      </c>
      <c r="B70" s="2">
        <v>43754.0</v>
      </c>
      <c r="C70" s="1" t="s">
        <v>174</v>
      </c>
      <c r="D70" s="3" t="s">
        <v>175</v>
      </c>
      <c r="E70" s="1">
        <v>1.0</v>
      </c>
      <c r="F70" s="1" t="str">
        <f t="array" ref="F70">XLOOKUP(C70,customers!A69:A1069, customers!B69:B1069,0)</f>
        <v>Hayward Goulter</v>
      </c>
      <c r="G70" s="1" t="str">
        <f t="array" ref="G70">IF(XLOOKUP(C71,customers!$A$1:$A$1001,customers!$C$1:$C$1001,0)=0,"",XLOOKUP(C71,customers!$A$1:$A$1001,customers!$C$1:$C$1001,0))</f>
        <v>grizzello1x@symantec.com</v>
      </c>
      <c r="H70" s="1" t="str">
        <f t="array" ref="H70">XLOOKUP(C70,customers!$A$1:$A$1001,customers!$F$1:$F$1001,0)</f>
        <v>Kingsport</v>
      </c>
    </row>
    <row r="71" ht="15.75" customHeight="1">
      <c r="A71" s="1" t="s">
        <v>176</v>
      </c>
      <c r="B71" s="2">
        <v>43795.0</v>
      </c>
      <c r="C71" s="1" t="s">
        <v>177</v>
      </c>
      <c r="D71" s="3" t="s">
        <v>15</v>
      </c>
      <c r="E71" s="1">
        <v>6.0</v>
      </c>
      <c r="F71" s="1" t="str">
        <f t="array" ref="F71">XLOOKUP(C71,customers!A70:A1070, customers!B70:B1070,0)</f>
        <v>Gay Rizzello</v>
      </c>
      <c r="G71" s="1" t="str">
        <f t="array" ref="G71">IF(XLOOKUP(C72,customers!$A$1:$A$1001,customers!$C$1:$C$1001,0)=0,"",XLOOKUP(C72,customers!$A$1:$A$1001,customers!$C$1:$C$1001,0))</f>
        <v>slist1y@mapquest.com</v>
      </c>
      <c r="H71" s="1" t="str">
        <f t="array" ref="H71">XLOOKUP(C71,customers!$A$1:$A$1001,customers!$F$1:$F$1001,0)</f>
        <v>Liverpool</v>
      </c>
    </row>
    <row r="72" ht="15.75" customHeight="1">
      <c r="A72" s="1" t="s">
        <v>178</v>
      </c>
      <c r="B72" s="2">
        <v>43646.0</v>
      </c>
      <c r="C72" s="1" t="s">
        <v>179</v>
      </c>
      <c r="D72" s="3" t="s">
        <v>43</v>
      </c>
      <c r="E72" s="1">
        <v>4.0</v>
      </c>
      <c r="F72" s="1" t="str">
        <f t="array" ref="F72">XLOOKUP(C72,customers!A71:A1071, customers!B71:B1071,0)</f>
        <v>Shannon List</v>
      </c>
      <c r="G72" s="1" t="str">
        <f t="array" ref="G72">IF(XLOOKUP(C73,customers!$A$1:$A$1001,customers!$C$1:$C$1001,0)=0,"",XLOOKUP(C73,customers!$A$1:$A$1001,customers!$C$1:$C$1001,0))</f>
        <v>sedmondson1z@theguardian.com</v>
      </c>
      <c r="H72" s="1" t="str">
        <f t="array" ref="H72">XLOOKUP(C72,customers!$A$1:$A$1001,customers!$F$1:$F$1001,0)</f>
        <v>Columbus</v>
      </c>
    </row>
    <row r="73" ht="15.75" customHeight="1">
      <c r="A73" s="1" t="s">
        <v>180</v>
      </c>
      <c r="B73" s="2">
        <v>44200.0</v>
      </c>
      <c r="C73" s="1" t="s">
        <v>181</v>
      </c>
      <c r="D73" s="3" t="s">
        <v>32</v>
      </c>
      <c r="E73" s="1">
        <v>2.0</v>
      </c>
      <c r="F73" s="1" t="str">
        <f t="array" ref="F73">XLOOKUP(C73,customers!A72:A1072, customers!B72:B1072,0)</f>
        <v>Shirlene Edmondson</v>
      </c>
      <c r="G73" s="1" t="str">
        <f t="array" ref="G73">IF(XLOOKUP(C74,customers!$A$1:$A$1001,customers!$C$1:$C$1001,0)=0,"",XLOOKUP(C74,customers!$A$1:$A$1001,customers!$C$1:$C$1001,0))</f>
        <v/>
      </c>
      <c r="H73" s="1" t="str">
        <f t="array" ref="H73">XLOOKUP(C73,customers!$A$1:$A$1001,customers!$F$1:$F$1001,0)</f>
        <v>Newmarket on Fergus</v>
      </c>
    </row>
    <row r="74" ht="15.75" customHeight="1">
      <c r="A74" s="1" t="s">
        <v>182</v>
      </c>
      <c r="B74" s="2">
        <v>44131.0</v>
      </c>
      <c r="C74" s="1" t="s">
        <v>183</v>
      </c>
      <c r="D74" s="3" t="s">
        <v>184</v>
      </c>
      <c r="E74" s="1">
        <v>3.0</v>
      </c>
      <c r="F74" s="1" t="str">
        <f t="array" ref="F74">XLOOKUP(C74,customers!A73:A1073, customers!B73:B1073,0)</f>
        <v>Aurlie McCarl</v>
      </c>
      <c r="G74" s="1" t="str">
        <f t="array" ref="G74">IF(XLOOKUP(C75,customers!$A$1:$A$1001,customers!$C$1:$C$1001,0)=0,"",XLOOKUP(C75,customers!$A$1:$A$1001,customers!$C$1:$C$1001,0))</f>
        <v/>
      </c>
      <c r="H74" s="1" t="str">
        <f t="array" ref="H74">XLOOKUP(C74,customers!$A$1:$A$1001,customers!$F$1:$F$1001,0)</f>
        <v>New Orleans</v>
      </c>
    </row>
    <row r="75" ht="15.75" customHeight="1">
      <c r="A75" s="1" t="s">
        <v>185</v>
      </c>
      <c r="B75" s="2">
        <v>44362.0</v>
      </c>
      <c r="C75" s="1" t="s">
        <v>186</v>
      </c>
      <c r="D75" s="3" t="s">
        <v>90</v>
      </c>
      <c r="E75" s="1">
        <v>5.0</v>
      </c>
      <c r="F75" s="1" t="str">
        <f t="array" ref="F75">XLOOKUP(C75,customers!A74:A1074, customers!B74:B1074,0)</f>
        <v>Alikee Carryer</v>
      </c>
      <c r="G75" s="1" t="str">
        <f t="array" ref="G75">IF(XLOOKUP(C76,customers!$A$1:$A$1001,customers!$C$1:$C$1001,0)=0,"",XLOOKUP(C76,customers!$A$1:$A$1001,customers!$C$1:$C$1001,0))</f>
        <v>jrangall22@newsvine.com</v>
      </c>
      <c r="H75" s="1" t="str">
        <f t="array" ref="H75">XLOOKUP(C75,customers!$A$1:$A$1001,customers!$F$1:$F$1001,0)</f>
        <v>Charlotte</v>
      </c>
    </row>
    <row r="76" ht="15.75" customHeight="1">
      <c r="A76" s="1" t="s">
        <v>187</v>
      </c>
      <c r="B76" s="2">
        <v>44396.0</v>
      </c>
      <c r="C76" s="1" t="s">
        <v>188</v>
      </c>
      <c r="D76" s="3" t="s">
        <v>189</v>
      </c>
      <c r="E76" s="1">
        <v>2.0</v>
      </c>
      <c r="F76" s="1" t="str">
        <f t="array" ref="F76">XLOOKUP(C76,customers!A75:A1075, customers!B75:B1075,0)</f>
        <v>Jennifer Rangall</v>
      </c>
      <c r="G76" s="1" t="str">
        <f t="array" ref="G76">IF(XLOOKUP(C77,customers!$A$1:$A$1001,customers!$C$1:$C$1001,0)=0,"",XLOOKUP(C77,customers!$A$1:$A$1001,customers!$C$1:$C$1001,0))</f>
        <v>kboorn23@ezinearticles.com</v>
      </c>
      <c r="H76" s="1" t="str">
        <f t="array" ref="H76">XLOOKUP(C76,customers!$A$1:$A$1001,customers!$F$1:$F$1001,0)</f>
        <v>Springfield</v>
      </c>
    </row>
    <row r="77" ht="15.75" customHeight="1">
      <c r="A77" s="1" t="s">
        <v>190</v>
      </c>
      <c r="B77" s="2">
        <v>44400.0</v>
      </c>
      <c r="C77" s="1" t="s">
        <v>191</v>
      </c>
      <c r="D77" s="3" t="s">
        <v>192</v>
      </c>
      <c r="E77" s="1">
        <v>6.0</v>
      </c>
      <c r="F77" s="1" t="str">
        <f t="array" ref="F77">XLOOKUP(C77,customers!A76:A1076, customers!B76:B1076,0)</f>
        <v>Kipper Boorn</v>
      </c>
      <c r="G77" s="1" t="str">
        <f t="array" ref="G77">IF(XLOOKUP(C78,customers!$A$1:$A$1001,customers!$C$1:$C$1001,0)=0,"",XLOOKUP(C78,customers!$A$1:$A$1001,customers!$C$1:$C$1001,0))</f>
        <v/>
      </c>
      <c r="H77" s="1" t="str">
        <f t="array" ref="H77">XLOOKUP(C77,customers!$A$1:$A$1001,customers!$F$1:$F$1001,0)</f>
        <v>Listowel</v>
      </c>
    </row>
    <row r="78" ht="15.75" customHeight="1">
      <c r="A78" s="1" t="s">
        <v>193</v>
      </c>
      <c r="B78" s="2">
        <v>43855.0</v>
      </c>
      <c r="C78" s="1" t="s">
        <v>194</v>
      </c>
      <c r="D78" s="3" t="s">
        <v>195</v>
      </c>
      <c r="E78" s="1">
        <v>1.0</v>
      </c>
      <c r="F78" s="1" t="str">
        <f t="array" ref="F78">XLOOKUP(C78,customers!A77:A1077, customers!B77:B1077,0)</f>
        <v>Melania Beadle</v>
      </c>
      <c r="G78" s="1" t="str">
        <f t="array" ref="G78">IF(XLOOKUP(C79,customers!$A$1:$A$1001,customers!$C$1:$C$1001,0)=0,"",XLOOKUP(C79,customers!$A$1:$A$1001,customers!$C$1:$C$1001,0))</f>
        <v>celgey25@webs.com</v>
      </c>
      <c r="H78" s="1" t="str">
        <f t="array" ref="H78">XLOOKUP(C78,customers!$A$1:$A$1001,customers!$F$1:$F$1001,0)</f>
        <v>Moycullen</v>
      </c>
    </row>
    <row r="79" ht="15.75" customHeight="1">
      <c r="A79" s="1" t="s">
        <v>196</v>
      </c>
      <c r="B79" s="2">
        <v>43594.0</v>
      </c>
      <c r="C79" s="1" t="s">
        <v>197</v>
      </c>
      <c r="D79" s="3" t="s">
        <v>64</v>
      </c>
      <c r="E79" s="1">
        <v>2.0</v>
      </c>
      <c r="F79" s="1" t="str">
        <f t="array" ref="F79">XLOOKUP(C79,customers!A78:A1078, customers!B78:B1078,0)</f>
        <v>Colene Elgey</v>
      </c>
      <c r="G79" s="1" t="str">
        <f t="array" ref="G79">IF(XLOOKUP(C80,customers!$A$1:$A$1001,customers!$C$1:$C$1001,0)=0,"",XLOOKUP(C80,customers!$A$1:$A$1001,customers!$C$1:$C$1001,0))</f>
        <v>lmizzi26@rakuten.co.jp</v>
      </c>
      <c r="H79" s="1" t="str">
        <f t="array" ref="H79">XLOOKUP(C79,customers!$A$1:$A$1001,customers!$F$1:$F$1001,0)</f>
        <v>Midland</v>
      </c>
    </row>
    <row r="80" ht="15.75" customHeight="1">
      <c r="A80" s="1" t="s">
        <v>198</v>
      </c>
      <c r="B80" s="2">
        <v>43920.0</v>
      </c>
      <c r="C80" s="1" t="s">
        <v>199</v>
      </c>
      <c r="D80" s="3" t="s">
        <v>80</v>
      </c>
      <c r="E80" s="1">
        <v>6.0</v>
      </c>
      <c r="F80" s="1" t="str">
        <f t="array" ref="F80">XLOOKUP(C80,customers!A79:A1079, customers!B79:B1079,0)</f>
        <v>Lothaire Mizzi</v>
      </c>
      <c r="G80" s="1" t="str">
        <f t="array" ref="G80">IF(XLOOKUP(C81,customers!$A$1:$A$1001,customers!$C$1:$C$1001,0)=0,"",XLOOKUP(C81,customers!$A$1:$A$1001,customers!$C$1:$C$1001,0))</f>
        <v>cgiacomazzo27@jigsy.com</v>
      </c>
      <c r="H80" s="1" t="str">
        <f t="array" ref="H80">XLOOKUP(C80,customers!$A$1:$A$1001,customers!$F$1:$F$1001,0)</f>
        <v>Dallas</v>
      </c>
    </row>
    <row r="81" ht="15.75" customHeight="1">
      <c r="A81" s="1" t="s">
        <v>200</v>
      </c>
      <c r="B81" s="2">
        <v>44633.0</v>
      </c>
      <c r="C81" s="1" t="s">
        <v>201</v>
      </c>
      <c r="D81" s="3" t="s">
        <v>202</v>
      </c>
      <c r="E81" s="1">
        <v>4.0</v>
      </c>
      <c r="F81" s="1" t="str">
        <f t="array" ref="F81">XLOOKUP(C81,customers!A80:A1080, customers!B80:B1080,0)</f>
        <v>Cletis Giacomazzo</v>
      </c>
      <c r="G81" s="1" t="str">
        <f t="array" ref="G81">IF(XLOOKUP(C82,customers!$A$1:$A$1001,customers!$C$1:$C$1001,0)=0,"",XLOOKUP(C82,customers!$A$1:$A$1001,customers!$C$1:$C$1001,0))</f>
        <v>aarnow28@arizona.edu</v>
      </c>
      <c r="H81" s="1" t="str">
        <f t="array" ref="H81">XLOOKUP(C81,customers!$A$1:$A$1001,customers!$F$1:$F$1001,0)</f>
        <v>Dulles</v>
      </c>
    </row>
    <row r="82" ht="15.75" customHeight="1">
      <c r="A82" s="1" t="s">
        <v>203</v>
      </c>
      <c r="B82" s="2">
        <v>43572.0</v>
      </c>
      <c r="C82" s="1" t="s">
        <v>204</v>
      </c>
      <c r="D82" s="3" t="s">
        <v>205</v>
      </c>
      <c r="E82" s="1">
        <v>5.0</v>
      </c>
      <c r="F82" s="1" t="str">
        <f t="array" ref="F82">XLOOKUP(C82,customers!A81:A1081, customers!B81:B1081,0)</f>
        <v>Ami Arnow</v>
      </c>
      <c r="G82" s="1" t="str">
        <f t="array" ref="G82">IF(XLOOKUP(C83,customers!$A$1:$A$1001,customers!$C$1:$C$1001,0)=0,"",XLOOKUP(C83,customers!$A$1:$A$1001,customers!$C$1:$C$1001,0))</f>
        <v>syann29@senate.gov</v>
      </c>
      <c r="H82" s="1" t="str">
        <f t="array" ref="H82">XLOOKUP(C82,customers!$A$1:$A$1001,customers!$F$1:$F$1001,0)</f>
        <v>Oakland</v>
      </c>
    </row>
    <row r="83" ht="15.75" customHeight="1">
      <c r="A83" s="1" t="s">
        <v>206</v>
      </c>
      <c r="B83" s="2">
        <v>43763.0</v>
      </c>
      <c r="C83" s="1" t="s">
        <v>207</v>
      </c>
      <c r="D83" s="3" t="s">
        <v>117</v>
      </c>
      <c r="E83" s="1">
        <v>3.0</v>
      </c>
      <c r="F83" s="1" t="str">
        <f t="array" ref="F83">XLOOKUP(C83,customers!A82:A1082, customers!B82:B1082,0)</f>
        <v>Sheppard Yann</v>
      </c>
      <c r="G83" s="1" t="str">
        <f t="array" ref="G83">IF(XLOOKUP(C84,customers!$A$1:$A$1001,customers!$C$1:$C$1001,0)=0,"",XLOOKUP(C84,customers!$A$1:$A$1001,customers!$C$1:$C$1001,0))</f>
        <v>bnaulls2a@tiny.cc</v>
      </c>
      <c r="H83" s="1" t="str">
        <f t="array" ref="H83">XLOOKUP(C83,customers!$A$1:$A$1001,customers!$F$1:$F$1001,0)</f>
        <v>Colorado Springs</v>
      </c>
    </row>
    <row r="84" ht="15.75" customHeight="1">
      <c r="A84" s="1" t="s">
        <v>208</v>
      </c>
      <c r="B84" s="2">
        <v>43721.0</v>
      </c>
      <c r="C84" s="1" t="s">
        <v>209</v>
      </c>
      <c r="D84" s="3" t="s">
        <v>210</v>
      </c>
      <c r="E84" s="1">
        <v>3.0</v>
      </c>
      <c r="F84" s="1" t="str">
        <f t="array" ref="F84">XLOOKUP(C84,customers!A83:A1083, customers!B83:B1083,0)</f>
        <v>Bunny Naulls</v>
      </c>
      <c r="G84" s="1" t="str">
        <f t="array" ref="G84">IF(XLOOKUP(C85,customers!$A$1:$A$1001,customers!$C$1:$C$1001,0)=0,"",XLOOKUP(C85,customers!$A$1:$A$1001,customers!$C$1:$C$1001,0))</f>
        <v/>
      </c>
      <c r="H84" s="1" t="str">
        <f t="array" ref="H84">XLOOKUP(C84,customers!$A$1:$A$1001,customers!$F$1:$F$1001,0)</f>
        <v>Adare</v>
      </c>
    </row>
    <row r="85" ht="15.75" customHeight="1">
      <c r="A85" s="1" t="s">
        <v>211</v>
      </c>
      <c r="B85" s="2">
        <v>43933.0</v>
      </c>
      <c r="C85" s="1" t="s">
        <v>212</v>
      </c>
      <c r="D85" s="3" t="s">
        <v>48</v>
      </c>
      <c r="E85" s="1">
        <v>4.0</v>
      </c>
      <c r="F85" s="1" t="str">
        <f t="array" ref="F85">XLOOKUP(C85,customers!A84:A1084, customers!B84:B1084,0)</f>
        <v>Hally Lorait</v>
      </c>
      <c r="G85" s="1" t="str">
        <f t="array" ref="G85">IF(XLOOKUP(C86,customers!$A$1:$A$1001,customers!$C$1:$C$1001,0)=0,"",XLOOKUP(C86,customers!$A$1:$A$1001,customers!$C$1:$C$1001,0))</f>
        <v>zsherewood2c@apache.org</v>
      </c>
      <c r="H85" s="1" t="str">
        <f t="array" ref="H85">XLOOKUP(C85,customers!$A$1:$A$1001,customers!$F$1:$F$1001,0)</f>
        <v>Buffalo</v>
      </c>
    </row>
    <row r="86" ht="15.75" customHeight="1">
      <c r="A86" s="1" t="s">
        <v>213</v>
      </c>
      <c r="B86" s="2">
        <v>43783.0</v>
      </c>
      <c r="C86" s="1" t="s">
        <v>214</v>
      </c>
      <c r="D86" s="3" t="s">
        <v>96</v>
      </c>
      <c r="E86" s="1">
        <v>1.0</v>
      </c>
      <c r="F86" s="1" t="str">
        <f t="array" ref="F86">XLOOKUP(C86,customers!A85:A1085, customers!B85:B1085,0)</f>
        <v>Zaccaria Sherewood</v>
      </c>
      <c r="G86" s="1" t="str">
        <f t="array" ref="G86">IF(XLOOKUP(C87,customers!$A$1:$A$1001,customers!$C$1:$C$1001,0)=0,"",XLOOKUP(C87,customers!$A$1:$A$1001,customers!$C$1:$C$1001,0))</f>
        <v>jdufaire2d@fc2.com</v>
      </c>
      <c r="H86" s="1" t="str">
        <f t="array" ref="H86">XLOOKUP(C86,customers!$A$1:$A$1001,customers!$F$1:$F$1001,0)</f>
        <v>Fresno</v>
      </c>
    </row>
    <row r="87" ht="15.75" customHeight="1">
      <c r="A87" s="1" t="s">
        <v>215</v>
      </c>
      <c r="B87" s="2">
        <v>43664.0</v>
      </c>
      <c r="C87" s="1" t="s">
        <v>216</v>
      </c>
      <c r="D87" s="3" t="s">
        <v>217</v>
      </c>
      <c r="E87" s="1">
        <v>3.0</v>
      </c>
      <c r="F87" s="1" t="str">
        <f t="array" ref="F87">XLOOKUP(C87,customers!A86:A1086, customers!B86:B1086,0)</f>
        <v>Jeffrey Dufaire</v>
      </c>
      <c r="G87" s="1" t="str">
        <f t="array" ref="G87">IF(XLOOKUP(C88,customers!$A$1:$A$1001,customers!$C$1:$C$1001,0)=0,"",XLOOKUP(C88,customers!$A$1:$A$1001,customers!$C$1:$C$1001,0))</f>
        <v>jdufaire2d@fc2.com</v>
      </c>
      <c r="H87" s="1" t="str">
        <f t="array" ref="H87">XLOOKUP(C87,customers!$A$1:$A$1001,customers!$F$1:$F$1001,0)</f>
        <v>Fort Worth</v>
      </c>
    </row>
    <row r="88" ht="15.75" customHeight="1">
      <c r="A88" s="1" t="s">
        <v>215</v>
      </c>
      <c r="B88" s="2">
        <v>43664.0</v>
      </c>
      <c r="C88" s="1" t="s">
        <v>216</v>
      </c>
      <c r="D88" s="3" t="s">
        <v>67</v>
      </c>
      <c r="E88" s="1">
        <v>4.0</v>
      </c>
      <c r="F88" s="1" t="str">
        <f t="array" ref="F88">XLOOKUP(C88,customers!A87:A1087, customers!B87:B1087,0)</f>
        <v>Jeffrey Dufaire</v>
      </c>
      <c r="G88" s="1" t="str">
        <f t="array" ref="G88">IF(XLOOKUP(C89,customers!$A$1:$A$1001,customers!$C$1:$C$1001,0)=0,"",XLOOKUP(C89,customers!$A$1:$A$1001,customers!$C$1:$C$1001,0))</f>
        <v>bkeaveney2f@netlog.com</v>
      </c>
      <c r="H88" s="1" t="str">
        <f t="array" ref="H88">XLOOKUP(C88,customers!$A$1:$A$1001,customers!$F$1:$F$1001,0)</f>
        <v>Fort Worth</v>
      </c>
    </row>
    <row r="89" ht="15.75" customHeight="1">
      <c r="A89" s="1" t="s">
        <v>218</v>
      </c>
      <c r="B89" s="2">
        <v>44289.0</v>
      </c>
      <c r="C89" s="1" t="s">
        <v>219</v>
      </c>
      <c r="D89" s="3" t="s">
        <v>74</v>
      </c>
      <c r="E89" s="1">
        <v>3.0</v>
      </c>
      <c r="F89" s="1" t="str">
        <f t="array" ref="F89">XLOOKUP(C89,customers!A88:A1088, customers!B88:B1088,0)</f>
        <v>Beitris Keaveney</v>
      </c>
      <c r="G89" s="1" t="str">
        <f t="array" ref="G89">IF(XLOOKUP(C90,customers!$A$1:$A$1001,customers!$C$1:$C$1001,0)=0,"",XLOOKUP(C90,customers!$A$1:$A$1001,customers!$C$1:$C$1001,0))</f>
        <v>egrise2g@cargocollective.com</v>
      </c>
      <c r="H89" s="1" t="str">
        <f t="array" ref="H89">XLOOKUP(C89,customers!$A$1:$A$1001,customers!$F$1:$F$1001,0)</f>
        <v>Beaumont</v>
      </c>
    </row>
    <row r="90" ht="15.75" customHeight="1">
      <c r="A90" s="1" t="s">
        <v>220</v>
      </c>
      <c r="B90" s="2">
        <v>44284.0</v>
      </c>
      <c r="C90" s="1" t="s">
        <v>221</v>
      </c>
      <c r="D90" s="3" t="s">
        <v>202</v>
      </c>
      <c r="E90" s="1">
        <v>3.0</v>
      </c>
      <c r="F90" s="1" t="str">
        <f t="array" ref="F90">XLOOKUP(C90,customers!A89:A1089, customers!B89:B1089,0)</f>
        <v>Elna Grise</v>
      </c>
      <c r="G90" s="1" t="str">
        <f t="array" ref="G90">IF(XLOOKUP(C91,customers!$A$1:$A$1001,customers!$C$1:$C$1001,0)=0,"",XLOOKUP(C91,customers!$A$1:$A$1001,customers!$C$1:$C$1001,0))</f>
        <v>tgottelier2h@vistaprint.com</v>
      </c>
      <c r="H90" s="1" t="str">
        <f t="array" ref="H90">XLOOKUP(C90,customers!$A$1:$A$1001,customers!$F$1:$F$1001,0)</f>
        <v>Reno</v>
      </c>
    </row>
    <row r="91" ht="15.75" customHeight="1">
      <c r="A91" s="1" t="s">
        <v>222</v>
      </c>
      <c r="B91" s="2">
        <v>44545.0</v>
      </c>
      <c r="C91" s="1" t="s">
        <v>223</v>
      </c>
      <c r="D91" s="3" t="s">
        <v>19</v>
      </c>
      <c r="E91" s="1">
        <v>6.0</v>
      </c>
      <c r="F91" s="1" t="str">
        <f t="array" ref="F91">XLOOKUP(C91,customers!A90:A1090, customers!B90:B1090,0)</f>
        <v>Torie Gottelier</v>
      </c>
      <c r="G91" s="1" t="str">
        <f t="array" ref="G91">IF(XLOOKUP(C92,customers!$A$1:$A$1001,customers!$C$1:$C$1001,0)=0,"",XLOOKUP(C92,customers!$A$1:$A$1001,customers!$C$1:$C$1001,0))</f>
        <v/>
      </c>
      <c r="H91" s="1" t="str">
        <f t="array" ref="H91">XLOOKUP(C91,customers!$A$1:$A$1001,customers!$F$1:$F$1001,0)</f>
        <v>Kansas City</v>
      </c>
    </row>
    <row r="92" ht="15.75" customHeight="1">
      <c r="A92" s="1" t="s">
        <v>224</v>
      </c>
      <c r="B92" s="2">
        <v>43971.0</v>
      </c>
      <c r="C92" s="1" t="s">
        <v>225</v>
      </c>
      <c r="D92" s="3" t="s">
        <v>19</v>
      </c>
      <c r="E92" s="1">
        <v>4.0</v>
      </c>
      <c r="F92" s="1" t="str">
        <f t="array" ref="F92">XLOOKUP(C92,customers!A91:A1091, customers!B91:B1091,0)</f>
        <v>Loydie Langlais</v>
      </c>
      <c r="G92" s="1" t="str">
        <f t="array" ref="G92">IF(XLOOKUP(C93,customers!$A$1:$A$1001,customers!$C$1:$C$1001,0)=0,"",XLOOKUP(C93,customers!$A$1:$A$1001,customers!$C$1:$C$1001,0))</f>
        <v>agreenhead2j@dailymail.co.uk</v>
      </c>
      <c r="H92" s="1" t="str">
        <f t="array" ref="H92">XLOOKUP(C92,customers!$A$1:$A$1001,customers!$F$1:$F$1001,0)</f>
        <v>Crumlin</v>
      </c>
    </row>
    <row r="93" ht="15.75" customHeight="1">
      <c r="A93" s="1" t="s">
        <v>226</v>
      </c>
      <c r="B93" s="2">
        <v>44137.0</v>
      </c>
      <c r="C93" s="1" t="s">
        <v>227</v>
      </c>
      <c r="D93" s="3" t="s">
        <v>184</v>
      </c>
      <c r="E93" s="1">
        <v>4.0</v>
      </c>
      <c r="F93" s="1" t="str">
        <f t="array" ref="F93">XLOOKUP(C93,customers!A92:A1092, customers!B92:B1092,0)</f>
        <v>Adham Greenhead</v>
      </c>
      <c r="G93" s="1" t="str">
        <f t="array" ref="G93">IF(XLOOKUP(C94,customers!$A$1:$A$1001,customers!$C$1:$C$1001,0)=0,"",XLOOKUP(C94,customers!$A$1:$A$1001,customers!$C$1:$C$1001,0))</f>
        <v/>
      </c>
      <c r="H93" s="1" t="str">
        <f t="array" ref="H93">XLOOKUP(C93,customers!$A$1:$A$1001,customers!$F$1:$F$1001,0)</f>
        <v>Corona</v>
      </c>
    </row>
    <row r="94" ht="15.75" customHeight="1">
      <c r="A94" s="1" t="s">
        <v>228</v>
      </c>
      <c r="B94" s="2">
        <v>44037.0</v>
      </c>
      <c r="C94" s="1" t="s">
        <v>229</v>
      </c>
      <c r="D94" s="3" t="s">
        <v>150</v>
      </c>
      <c r="E94" s="1">
        <v>3.0</v>
      </c>
      <c r="F94" s="1" t="str">
        <f t="array" ref="F94">XLOOKUP(C94,customers!A93:A1093, customers!B93:B1093,0)</f>
        <v>Hamish MacSherry</v>
      </c>
      <c r="G94" s="1" t="str">
        <f t="array" ref="G94">IF(XLOOKUP(C95,customers!$A$1:$A$1001,customers!$C$1:$C$1001,0)=0,"",XLOOKUP(C95,customers!$A$1:$A$1001,customers!$C$1:$C$1001,0))</f>
        <v>elangcaster2l@spotify.com</v>
      </c>
      <c r="H94" s="1" t="str">
        <f t="array" ref="H94">XLOOKUP(C94,customers!$A$1:$A$1001,customers!$F$1:$F$1001,0)</f>
        <v>Austin</v>
      </c>
    </row>
    <row r="95" ht="15.75" customHeight="1">
      <c r="A95" s="1" t="s">
        <v>230</v>
      </c>
      <c r="B95" s="2">
        <v>43538.0</v>
      </c>
      <c r="C95" s="1" t="s">
        <v>231</v>
      </c>
      <c r="D95" s="3" t="s">
        <v>189</v>
      </c>
      <c r="E95" s="1">
        <v>4.0</v>
      </c>
      <c r="F95" s="1" t="str">
        <f t="array" ref="F95">XLOOKUP(C95,customers!A94:A1094, customers!B94:B1094,0)</f>
        <v>Else Langcaster</v>
      </c>
      <c r="G95" s="1" t="str">
        <f t="array" ref="G95">IF(XLOOKUP(C96,customers!$A$1:$A$1001,customers!$C$1:$C$1001,0)=0,"",XLOOKUP(C96,customers!$A$1:$A$1001,customers!$C$1:$C$1001,0))</f>
        <v/>
      </c>
      <c r="H95" s="1" t="str">
        <f t="array" ref="H95">XLOOKUP(C95,customers!$A$1:$A$1001,customers!$F$1:$F$1001,0)</f>
        <v>Normanton</v>
      </c>
    </row>
    <row r="96" ht="15.75" customHeight="1">
      <c r="A96" s="1" t="s">
        <v>232</v>
      </c>
      <c r="B96" s="2">
        <v>44014.0</v>
      </c>
      <c r="C96" s="1" t="s">
        <v>233</v>
      </c>
      <c r="D96" s="3" t="s">
        <v>67</v>
      </c>
      <c r="E96" s="1">
        <v>6.0</v>
      </c>
      <c r="F96" s="1" t="str">
        <f t="array" ref="F96">XLOOKUP(C96,customers!A95:A1095, customers!B95:B1095,0)</f>
        <v>Rudy Farquharson</v>
      </c>
      <c r="G96" s="1" t="str">
        <f t="array" ref="G96">IF(XLOOKUP(C97,customers!$A$1:$A$1001,customers!$C$1:$C$1001,0)=0,"",XLOOKUP(C97,customers!$A$1:$A$1001,customers!$C$1:$C$1001,0))</f>
        <v>nmagauran2n@51.la</v>
      </c>
      <c r="H96" s="1" t="str">
        <f t="array" ref="H96">XLOOKUP(C96,customers!$A$1:$A$1001,customers!$F$1:$F$1001,0)</f>
        <v>Charlesland</v>
      </c>
    </row>
    <row r="97" ht="15.75" customHeight="1">
      <c r="A97" s="1" t="s">
        <v>234</v>
      </c>
      <c r="B97" s="2">
        <v>43816.0</v>
      </c>
      <c r="C97" s="1" t="s">
        <v>235</v>
      </c>
      <c r="D97" s="3" t="s">
        <v>184</v>
      </c>
      <c r="E97" s="1">
        <v>6.0</v>
      </c>
      <c r="F97" s="1" t="str">
        <f t="array" ref="F97">XLOOKUP(C97,customers!A96:A1096, customers!B96:B1096,0)</f>
        <v>Norene Magauran</v>
      </c>
      <c r="G97" s="1" t="str">
        <f t="array" ref="G97">IF(XLOOKUP(C98,customers!$A$1:$A$1001,customers!$C$1:$C$1001,0)=0,"",XLOOKUP(C98,customers!$A$1:$A$1001,customers!$C$1:$C$1001,0))</f>
        <v>vkirdsch2o@google.fr</v>
      </c>
      <c r="H97" s="1" t="str">
        <f t="array" ref="H97">XLOOKUP(C97,customers!$A$1:$A$1001,customers!$F$1:$F$1001,0)</f>
        <v>Fresno</v>
      </c>
    </row>
    <row r="98" ht="15.75" customHeight="1">
      <c r="A98" s="1" t="s">
        <v>236</v>
      </c>
      <c r="B98" s="2">
        <v>44171.0</v>
      </c>
      <c r="C98" s="1" t="s">
        <v>237</v>
      </c>
      <c r="D98" s="3" t="s">
        <v>67</v>
      </c>
      <c r="E98" s="1">
        <v>2.0</v>
      </c>
      <c r="F98" s="1" t="str">
        <f t="array" ref="F98">XLOOKUP(C98,customers!A97:A1097, customers!B97:B1097,0)</f>
        <v>Vicki Kirdsch</v>
      </c>
      <c r="G98" s="1" t="str">
        <f t="array" ref="G98">IF(XLOOKUP(C99,customers!$A$1:$A$1001,customers!$C$1:$C$1001,0)=0,"",XLOOKUP(C99,customers!$A$1:$A$1001,customers!$C$1:$C$1001,0))</f>
        <v>iwhapple2p@com.com</v>
      </c>
      <c r="H98" s="1" t="str">
        <f t="array" ref="H98">XLOOKUP(C98,customers!$A$1:$A$1001,customers!$F$1:$F$1001,0)</f>
        <v>Saint Louis</v>
      </c>
    </row>
    <row r="99" ht="15.75" customHeight="1">
      <c r="A99" s="1" t="s">
        <v>238</v>
      </c>
      <c r="B99" s="2">
        <v>44259.0</v>
      </c>
      <c r="C99" s="1" t="s">
        <v>239</v>
      </c>
      <c r="D99" s="3" t="s">
        <v>80</v>
      </c>
      <c r="E99" s="1">
        <v>2.0</v>
      </c>
      <c r="F99" s="1" t="str">
        <f t="array" ref="F99">XLOOKUP(C99,customers!A98:A1098, customers!B98:B1098,0)</f>
        <v>Ilysa Whapple</v>
      </c>
      <c r="G99" s="1" t="str">
        <f t="array" ref="G99">IF(XLOOKUP(C100,customers!$A$1:$A$1001,customers!$C$1:$C$1001,0)=0,"",XLOOKUP(C100,customers!$A$1:$A$1001,customers!$C$1:$C$1001,0))</f>
        <v/>
      </c>
      <c r="H99" s="1" t="str">
        <f t="array" ref="H99">XLOOKUP(C99,customers!$A$1:$A$1001,customers!$F$1:$F$1001,0)</f>
        <v>Fresno</v>
      </c>
    </row>
    <row r="100" ht="15.75" customHeight="1">
      <c r="A100" s="1" t="s">
        <v>240</v>
      </c>
      <c r="B100" s="2">
        <v>44394.0</v>
      </c>
      <c r="C100" s="1" t="s">
        <v>241</v>
      </c>
      <c r="D100" s="3" t="s">
        <v>67</v>
      </c>
      <c r="E100" s="1">
        <v>1.0</v>
      </c>
      <c r="F100" s="1" t="str">
        <f t="array" ref="F100">XLOOKUP(C100,customers!A99:A1099, customers!B99:B1099,0)</f>
        <v>Ruy Cancellieri</v>
      </c>
      <c r="G100" s="1" t="str">
        <f t="array" ref="G100">IF(XLOOKUP(C101,customers!$A$1:$A$1001,customers!$C$1:$C$1001,0)=0,"",XLOOKUP(C101,customers!$A$1:$A$1001,customers!$C$1:$C$1001,0))</f>
        <v/>
      </c>
      <c r="H100" s="1" t="str">
        <f t="array" ref="H100">XLOOKUP(C100,customers!$A$1:$A$1001,customers!$F$1:$F$1001,0)</f>
        <v>Confey</v>
      </c>
    </row>
    <row r="101" ht="15.75" customHeight="1">
      <c r="A101" s="1" t="s">
        <v>242</v>
      </c>
      <c r="B101" s="2">
        <v>44139.0</v>
      </c>
      <c r="C101" s="1" t="s">
        <v>243</v>
      </c>
      <c r="D101" s="3" t="s">
        <v>90</v>
      </c>
      <c r="E101" s="1">
        <v>3.0</v>
      </c>
      <c r="F101" s="1" t="str">
        <f t="array" ref="F101">XLOOKUP(C101,customers!A100:A1100, customers!B100:B1100,0)</f>
        <v>Aube Follett</v>
      </c>
      <c r="G101" s="1" t="str">
        <f t="array" ref="G101">IF(XLOOKUP(C102,customers!$A$1:$A$1001,customers!$C$1:$C$1001,0)=0,"",XLOOKUP(C102,customers!$A$1:$A$1001,customers!$C$1:$C$1001,0))</f>
        <v/>
      </c>
      <c r="H101" s="1" t="str">
        <f t="array" ref="H101">XLOOKUP(C101,customers!$A$1:$A$1001,customers!$F$1:$F$1001,0)</f>
        <v>Columbus</v>
      </c>
    </row>
    <row r="102" ht="15.75" customHeight="1">
      <c r="A102" s="1" t="s">
        <v>244</v>
      </c>
      <c r="B102" s="2">
        <v>44291.0</v>
      </c>
      <c r="C102" s="1" t="s">
        <v>245</v>
      </c>
      <c r="D102" s="3" t="s">
        <v>128</v>
      </c>
      <c r="E102" s="1">
        <v>2.0</v>
      </c>
      <c r="F102" s="1" t="str">
        <f t="array" ref="F102">XLOOKUP(C102,customers!A101:A1101, customers!B101:B1101,0)</f>
        <v>Rudiger Di Bartolomeo</v>
      </c>
      <c r="G102" s="1" t="str">
        <f t="array" ref="G102">IF(XLOOKUP(C103,customers!$A$1:$A$1001,customers!$C$1:$C$1001,0)=0,"",XLOOKUP(C103,customers!$A$1:$A$1001,customers!$C$1:$C$1001,0))</f>
        <v>nyoules2t@reference.com</v>
      </c>
      <c r="H102" s="1" t="str">
        <f t="array" ref="H102">XLOOKUP(C102,customers!$A$1:$A$1001,customers!$F$1:$F$1001,0)</f>
        <v>Stockton</v>
      </c>
    </row>
    <row r="103" ht="15.75" customHeight="1">
      <c r="A103" s="1" t="s">
        <v>246</v>
      </c>
      <c r="B103" s="2">
        <v>43891.0</v>
      </c>
      <c r="C103" s="1" t="s">
        <v>247</v>
      </c>
      <c r="D103" s="3" t="s">
        <v>122</v>
      </c>
      <c r="E103" s="1">
        <v>5.0</v>
      </c>
      <c r="F103" s="1" t="str">
        <f t="array" ref="F103">XLOOKUP(C103,customers!A102:A1102, customers!B102:B1102,0)</f>
        <v>Nickey Youles</v>
      </c>
      <c r="G103" s="1" t="str">
        <f t="array" ref="G103">IF(XLOOKUP(C104,customers!$A$1:$A$1001,customers!$C$1:$C$1001,0)=0,"",XLOOKUP(C104,customers!$A$1:$A$1001,customers!$C$1:$C$1001,0))</f>
        <v>daizikovitz2u@answers.com</v>
      </c>
      <c r="H103" s="1" t="str">
        <f t="array" ref="H103">XLOOKUP(C103,customers!$A$1:$A$1001,customers!$F$1:$F$1001,0)</f>
        <v>Edgeworthstown</v>
      </c>
    </row>
    <row r="104" ht="15.75" customHeight="1">
      <c r="A104" s="1" t="s">
        <v>248</v>
      </c>
      <c r="B104" s="2">
        <v>44488.0</v>
      </c>
      <c r="C104" s="1" t="s">
        <v>249</v>
      </c>
      <c r="D104" s="3" t="s">
        <v>26</v>
      </c>
      <c r="E104" s="1">
        <v>3.0</v>
      </c>
      <c r="F104" s="1" t="str">
        <f t="array" ref="F104">XLOOKUP(C104,customers!A103:A1103, customers!B103:B1103,0)</f>
        <v>Dyanna Aizikovitz</v>
      </c>
      <c r="G104" s="1" t="str">
        <f t="array" ref="G104">IF(XLOOKUP(C105,customers!$A$1:$A$1001,customers!$C$1:$C$1001,0)=0,"",XLOOKUP(C105,customers!$A$1:$A$1001,customers!$C$1:$C$1001,0))</f>
        <v>brevel2v@fastcompany.com</v>
      </c>
      <c r="H104" s="1" t="str">
        <f t="array" ref="H104">XLOOKUP(C104,customers!$A$1:$A$1001,customers!$F$1:$F$1001,0)</f>
        <v>Leixlip</v>
      </c>
    </row>
    <row r="105" ht="15.75" customHeight="1">
      <c r="A105" s="1" t="s">
        <v>250</v>
      </c>
      <c r="B105" s="2">
        <v>44750.0</v>
      </c>
      <c r="C105" s="1" t="s">
        <v>251</v>
      </c>
      <c r="D105" s="3" t="s">
        <v>175</v>
      </c>
      <c r="E105" s="1">
        <v>4.0</v>
      </c>
      <c r="F105" s="1" t="str">
        <f t="array" ref="F105">XLOOKUP(C105,customers!A104:A1104, customers!B104:B1104,0)</f>
        <v>Bram Revel</v>
      </c>
      <c r="G105" s="1" t="str">
        <f t="array" ref="G105">IF(XLOOKUP(C106,customers!$A$1:$A$1001,customers!$C$1:$C$1001,0)=0,"",XLOOKUP(C106,customers!$A$1:$A$1001,customers!$C$1:$C$1001,0))</f>
        <v>epriddis2w@nationalgeographic.com</v>
      </c>
      <c r="H105" s="1" t="str">
        <f t="array" ref="H105">XLOOKUP(C105,customers!$A$1:$A$1001,customers!$F$1:$F$1001,0)</f>
        <v>Rochester</v>
      </c>
    </row>
    <row r="106" ht="15.75" customHeight="1">
      <c r="A106" s="1" t="s">
        <v>252</v>
      </c>
      <c r="B106" s="2">
        <v>43694.0</v>
      </c>
      <c r="C106" s="1" t="s">
        <v>253</v>
      </c>
      <c r="D106" s="3" t="s">
        <v>109</v>
      </c>
      <c r="E106" s="1">
        <v>6.0</v>
      </c>
      <c r="F106" s="1" t="str">
        <f t="array" ref="F106">XLOOKUP(C106,customers!A105:A1105, customers!B105:B1105,0)</f>
        <v>Emiline Priddis</v>
      </c>
      <c r="G106" s="1" t="str">
        <f t="array" ref="G106">IF(XLOOKUP(C107,customers!$A$1:$A$1001,customers!$C$1:$C$1001,0)=0,"",XLOOKUP(C107,customers!$A$1:$A$1001,customers!$C$1:$C$1001,0))</f>
        <v>qveel2x@jugem.jp</v>
      </c>
      <c r="H106" s="1" t="str">
        <f t="array" ref="H106">XLOOKUP(C106,customers!$A$1:$A$1001,customers!$F$1:$F$1001,0)</f>
        <v>Tuscaloosa</v>
      </c>
    </row>
    <row r="107" ht="15.75" customHeight="1">
      <c r="A107" s="1" t="s">
        <v>254</v>
      </c>
      <c r="B107" s="2">
        <v>43982.0</v>
      </c>
      <c r="C107" s="1" t="s">
        <v>255</v>
      </c>
      <c r="D107" s="3" t="s">
        <v>80</v>
      </c>
      <c r="E107" s="1">
        <v>6.0</v>
      </c>
      <c r="F107" s="1" t="str">
        <f t="array" ref="F107">XLOOKUP(C107,customers!A106:A1106, customers!B106:B1106,0)</f>
        <v>Queenie Veel</v>
      </c>
      <c r="G107" s="1" t="str">
        <f t="array" ref="G107">IF(XLOOKUP(C108,customers!$A$1:$A$1001,customers!$C$1:$C$1001,0)=0,"",XLOOKUP(C108,customers!$A$1:$A$1001,customers!$C$1:$C$1001,0))</f>
        <v>lconyers2y@twitter.com</v>
      </c>
      <c r="H107" s="1" t="str">
        <f t="array" ref="H107">XLOOKUP(C107,customers!$A$1:$A$1001,customers!$F$1:$F$1001,0)</f>
        <v>Houston</v>
      </c>
    </row>
    <row r="108" ht="15.75" customHeight="1">
      <c r="A108" s="1" t="s">
        <v>256</v>
      </c>
      <c r="B108" s="2">
        <v>43956.0</v>
      </c>
      <c r="C108" s="1" t="s">
        <v>257</v>
      </c>
      <c r="D108" s="3" t="s">
        <v>258</v>
      </c>
      <c r="E108" s="1">
        <v>2.0</v>
      </c>
      <c r="F108" s="1" t="str">
        <f t="array" ref="F108">XLOOKUP(C108,customers!A107:A1107, customers!B107:B1107,0)</f>
        <v>Lind Conyers</v>
      </c>
      <c r="G108" s="1" t="str">
        <f t="array" ref="G108">IF(XLOOKUP(C109,customers!$A$1:$A$1001,customers!$C$1:$C$1001,0)=0,"",XLOOKUP(C109,customers!$A$1:$A$1001,customers!$C$1:$C$1001,0))</f>
        <v>pwye2z@dagondesign.com</v>
      </c>
      <c r="H108" s="1" t="str">
        <f t="array" ref="H108">XLOOKUP(C108,customers!$A$1:$A$1001,customers!$F$1:$F$1001,0)</f>
        <v>El Paso</v>
      </c>
    </row>
    <row r="109" ht="15.75" customHeight="1">
      <c r="A109" s="1" t="s">
        <v>259</v>
      </c>
      <c r="B109" s="2">
        <v>43569.0</v>
      </c>
      <c r="C109" s="1" t="s">
        <v>260</v>
      </c>
      <c r="D109" s="3" t="s">
        <v>35</v>
      </c>
      <c r="E109" s="1">
        <v>3.0</v>
      </c>
      <c r="F109" s="1" t="str">
        <f t="array" ref="F109">XLOOKUP(C109,customers!A108:A1108, customers!B108:B1108,0)</f>
        <v>Pen Wye</v>
      </c>
      <c r="G109" s="1" t="str">
        <f t="array" ref="G109">IF(XLOOKUP(C110,customers!$A$1:$A$1001,customers!$C$1:$C$1001,0)=0,"",XLOOKUP(C110,customers!$A$1:$A$1001,customers!$C$1:$C$1001,0))</f>
        <v/>
      </c>
      <c r="H109" s="1" t="str">
        <f t="array" ref="H109">XLOOKUP(C109,customers!$A$1:$A$1001,customers!$F$1:$F$1001,0)</f>
        <v>Colorado Springs</v>
      </c>
    </row>
    <row r="110" ht="15.75" customHeight="1">
      <c r="A110" s="1" t="s">
        <v>261</v>
      </c>
      <c r="B110" s="2">
        <v>44041.0</v>
      </c>
      <c r="C110" s="1" t="s">
        <v>262</v>
      </c>
      <c r="D110" s="3" t="s">
        <v>80</v>
      </c>
      <c r="E110" s="1">
        <v>4.0</v>
      </c>
      <c r="F110" s="1" t="str">
        <f t="array" ref="F110">XLOOKUP(C110,customers!A109:A1109, customers!B109:B1109,0)</f>
        <v>Isahella Hagland</v>
      </c>
      <c r="G110" s="1" t="str">
        <f t="array" ref="G110">IF(XLOOKUP(C111,customers!$A$1:$A$1001,customers!$C$1:$C$1001,0)=0,"",XLOOKUP(C111,customers!$A$1:$A$1001,customers!$C$1:$C$1001,0))</f>
        <v>tsheryn31@mtv.com</v>
      </c>
      <c r="H110" s="1" t="str">
        <f t="array" ref="H110">XLOOKUP(C110,customers!$A$1:$A$1001,customers!$F$1:$F$1001,0)</f>
        <v>Fort Wayne</v>
      </c>
    </row>
    <row r="111" ht="15.75" customHeight="1">
      <c r="A111" s="1" t="s">
        <v>263</v>
      </c>
      <c r="B111" s="2">
        <v>43811.0</v>
      </c>
      <c r="C111" s="1" t="s">
        <v>264</v>
      </c>
      <c r="D111" s="3" t="s">
        <v>136</v>
      </c>
      <c r="E111" s="1">
        <v>1.0</v>
      </c>
      <c r="F111" s="1" t="str">
        <f t="array" ref="F111">XLOOKUP(C111,customers!A110:A1110, customers!B110:B1110,0)</f>
        <v>Terry Sheryn</v>
      </c>
      <c r="G111" s="1" t="str">
        <f t="array" ref="G111">IF(XLOOKUP(C112,customers!$A$1:$A$1001,customers!$C$1:$C$1001,0)=0,"",XLOOKUP(C112,customers!$A$1:$A$1001,customers!$C$1:$C$1001,0))</f>
        <v>mredgrave32@cargocollective.com</v>
      </c>
      <c r="H111" s="1" t="str">
        <f t="array" ref="H111">XLOOKUP(C111,customers!$A$1:$A$1001,customers!$F$1:$F$1001,0)</f>
        <v>Port Washington</v>
      </c>
    </row>
    <row r="112" ht="15.75" customHeight="1">
      <c r="A112" s="1" t="s">
        <v>265</v>
      </c>
      <c r="B112" s="2">
        <v>44727.0</v>
      </c>
      <c r="C112" s="1" t="s">
        <v>266</v>
      </c>
      <c r="D112" s="3" t="s">
        <v>267</v>
      </c>
      <c r="E112" s="1">
        <v>3.0</v>
      </c>
      <c r="F112" s="1" t="str">
        <f t="array" ref="F112">XLOOKUP(C112,customers!A111:A1111, customers!B111:B1111,0)</f>
        <v>Marie-jeanne Redgrave</v>
      </c>
      <c r="G112" s="1" t="str">
        <f t="array" ref="G112">IF(XLOOKUP(C113,customers!$A$1:$A$1001,customers!$C$1:$C$1001,0)=0,"",XLOOKUP(C113,customers!$A$1:$A$1001,customers!$C$1:$C$1001,0))</f>
        <v>bfominov33@yale.edu</v>
      </c>
      <c r="H112" s="1" t="str">
        <f t="array" ref="H112">XLOOKUP(C112,customers!$A$1:$A$1001,customers!$F$1:$F$1001,0)</f>
        <v>Springfield</v>
      </c>
    </row>
    <row r="113" ht="15.75" customHeight="1">
      <c r="A113" s="1" t="s">
        <v>268</v>
      </c>
      <c r="B113" s="2">
        <v>43642.0</v>
      </c>
      <c r="C113" s="1" t="s">
        <v>269</v>
      </c>
      <c r="D113" s="3" t="s">
        <v>159</v>
      </c>
      <c r="E113" s="1">
        <v>5.0</v>
      </c>
      <c r="F113" s="1" t="str">
        <f t="array" ref="F113">XLOOKUP(C113,customers!A112:A1112, customers!B112:B1112,0)</f>
        <v>Betty Fominov</v>
      </c>
      <c r="G113" s="1" t="str">
        <f t="array" ref="G113">IF(XLOOKUP(C114,customers!$A$1:$A$1001,customers!$C$1:$C$1001,0)=0,"",XLOOKUP(C114,customers!$A$1:$A$1001,customers!$C$1:$C$1001,0))</f>
        <v>scritchlow34@un.org</v>
      </c>
      <c r="H113" s="1" t="str">
        <f t="array" ref="H113">XLOOKUP(C113,customers!$A$1:$A$1001,customers!$F$1:$F$1001,0)</f>
        <v>Pensacola</v>
      </c>
    </row>
    <row r="114" ht="15.75" customHeight="1">
      <c r="A114" s="1" t="s">
        <v>270</v>
      </c>
      <c r="B114" s="2">
        <v>44481.0</v>
      </c>
      <c r="C114" s="1" t="s">
        <v>271</v>
      </c>
      <c r="D114" s="3" t="s">
        <v>74</v>
      </c>
      <c r="E114" s="1">
        <v>1.0</v>
      </c>
      <c r="F114" s="1" t="str">
        <f t="array" ref="F114">XLOOKUP(C114,customers!A113:A1113, customers!B113:B1113,0)</f>
        <v>Shawnee Critchlow</v>
      </c>
      <c r="G114" s="1" t="str">
        <f t="array" ref="G114">IF(XLOOKUP(C115,customers!$A$1:$A$1001,customers!$C$1:$C$1001,0)=0,"",XLOOKUP(C115,customers!$A$1:$A$1001,customers!$C$1:$C$1001,0))</f>
        <v>msteptow35@earthlink.net</v>
      </c>
      <c r="H114" s="1" t="str">
        <f t="array" ref="H114">XLOOKUP(C114,customers!$A$1:$A$1001,customers!$F$1:$F$1001,0)</f>
        <v>Richmond</v>
      </c>
    </row>
    <row r="115" ht="15.75" customHeight="1">
      <c r="A115" s="1" t="s">
        <v>272</v>
      </c>
      <c r="B115" s="2">
        <v>43556.0</v>
      </c>
      <c r="C115" s="1" t="s">
        <v>273</v>
      </c>
      <c r="D115" s="3" t="s">
        <v>109</v>
      </c>
      <c r="E115" s="1">
        <v>1.0</v>
      </c>
      <c r="F115" s="1" t="str">
        <f t="array" ref="F115">XLOOKUP(C115,customers!A114:A1114, customers!B114:B1114,0)</f>
        <v>Merrel Steptow</v>
      </c>
      <c r="G115" s="1" t="str">
        <f t="array" ref="G115">IF(XLOOKUP(C116,customers!$A$1:$A$1001,customers!$C$1:$C$1001,0)=0,"",XLOOKUP(C116,customers!$A$1:$A$1001,customers!$C$1:$C$1001,0))</f>
        <v/>
      </c>
      <c r="H115" s="1" t="str">
        <f t="array" ref="H115">XLOOKUP(C115,customers!$A$1:$A$1001,customers!$F$1:$F$1001,0)</f>
        <v>Cherryville</v>
      </c>
    </row>
    <row r="116" ht="15.75" customHeight="1">
      <c r="A116" s="1" t="s">
        <v>274</v>
      </c>
      <c r="B116" s="2">
        <v>44265.0</v>
      </c>
      <c r="C116" s="1" t="s">
        <v>275</v>
      </c>
      <c r="D116" s="3" t="s">
        <v>195</v>
      </c>
      <c r="E116" s="1">
        <v>4.0</v>
      </c>
      <c r="F116" s="1" t="str">
        <f t="array" ref="F116">XLOOKUP(C116,customers!A115:A1115, customers!B115:B1115,0)</f>
        <v>Carmina Hubbuck</v>
      </c>
      <c r="G116" s="1" t="str">
        <f t="array" ref="G116">IF(XLOOKUP(C117,customers!$A$1:$A$1001,customers!$C$1:$C$1001,0)=0,"",XLOOKUP(C117,customers!$A$1:$A$1001,customers!$C$1:$C$1001,0))</f>
        <v>imulliner37@pinterest.com</v>
      </c>
      <c r="H116" s="1" t="str">
        <f t="array" ref="H116">XLOOKUP(C116,customers!$A$1:$A$1001,customers!$F$1:$F$1001,0)</f>
        <v>Huntington</v>
      </c>
    </row>
    <row r="117" ht="15.75" customHeight="1">
      <c r="A117" s="1" t="s">
        <v>276</v>
      </c>
      <c r="B117" s="2">
        <v>43693.0</v>
      </c>
      <c r="C117" s="1" t="s">
        <v>277</v>
      </c>
      <c r="D117" s="3" t="s">
        <v>145</v>
      </c>
      <c r="E117" s="1">
        <v>1.0</v>
      </c>
      <c r="F117" s="1" t="str">
        <f t="array" ref="F117">XLOOKUP(C117,customers!A116:A1116, customers!B116:B1116,0)</f>
        <v>Ingeberg Mulliner</v>
      </c>
      <c r="G117" s="1" t="str">
        <f t="array" ref="G117">IF(XLOOKUP(C118,customers!$A$1:$A$1001,customers!$C$1:$C$1001,0)=0,"",XLOOKUP(C118,customers!$A$1:$A$1001,customers!$C$1:$C$1001,0))</f>
        <v>gstandley38@dion.ne.jp</v>
      </c>
      <c r="H117" s="1" t="str">
        <f t="array" ref="H117">XLOOKUP(C117,customers!$A$1:$A$1001,customers!$F$1:$F$1001,0)</f>
        <v>Birmingham</v>
      </c>
    </row>
    <row r="118" ht="15.75" customHeight="1">
      <c r="A118" s="1" t="s">
        <v>278</v>
      </c>
      <c r="B118" s="2">
        <v>44054.0</v>
      </c>
      <c r="C118" s="1" t="s">
        <v>279</v>
      </c>
      <c r="D118" s="3" t="s">
        <v>32</v>
      </c>
      <c r="E118" s="1">
        <v>4.0</v>
      </c>
      <c r="F118" s="1" t="str">
        <f t="array" ref="F118">XLOOKUP(C118,customers!A117:A1117, customers!B117:B1117,0)</f>
        <v>Geneva Standley</v>
      </c>
      <c r="G118" s="1" t="str">
        <f t="array" ref="G118">IF(XLOOKUP(C119,customers!$A$1:$A$1001,customers!$C$1:$C$1001,0)=0,"",XLOOKUP(C119,customers!$A$1:$A$1001,customers!$C$1:$C$1001,0))</f>
        <v>bdrage39@youku.com</v>
      </c>
      <c r="H118" s="1" t="str">
        <f t="array" ref="H118">XLOOKUP(C118,customers!$A$1:$A$1001,customers!$F$1:$F$1001,0)</f>
        <v>Killorglin</v>
      </c>
    </row>
    <row r="119" ht="15.75" customHeight="1">
      <c r="A119" s="1" t="s">
        <v>280</v>
      </c>
      <c r="B119" s="2">
        <v>44656.0</v>
      </c>
      <c r="C119" s="1" t="s">
        <v>281</v>
      </c>
      <c r="D119" s="3" t="s">
        <v>96</v>
      </c>
      <c r="E119" s="1">
        <v>4.0</v>
      </c>
      <c r="F119" s="1" t="str">
        <f t="array" ref="F119">XLOOKUP(C119,customers!A118:A1118, customers!B118:B1118,0)</f>
        <v>Brook Drage</v>
      </c>
      <c r="G119" s="1" t="str">
        <f t="array" ref="G119">IF(XLOOKUP(C120,customers!$A$1:$A$1001,customers!$C$1:$C$1001,0)=0,"",XLOOKUP(C120,customers!$A$1:$A$1001,customers!$C$1:$C$1001,0))</f>
        <v>myallop3a@fema.gov</v>
      </c>
      <c r="H119" s="1" t="str">
        <f t="array" ref="H119">XLOOKUP(C119,customers!$A$1:$A$1001,customers!$F$1:$F$1001,0)</f>
        <v>Dayton</v>
      </c>
    </row>
    <row r="120" ht="15.75" customHeight="1">
      <c r="A120" s="1" t="s">
        <v>282</v>
      </c>
      <c r="B120" s="2">
        <v>43760.0</v>
      </c>
      <c r="C120" s="1" t="s">
        <v>283</v>
      </c>
      <c r="D120" s="3" t="s">
        <v>29</v>
      </c>
      <c r="E120" s="1">
        <v>3.0</v>
      </c>
      <c r="F120" s="1" t="str">
        <f t="array" ref="F120">XLOOKUP(C120,customers!A119:A1119, customers!B119:B1119,0)</f>
        <v>Muffin Yallop</v>
      </c>
      <c r="G120" s="1" t="str">
        <f t="array" ref="G120">IF(XLOOKUP(C121,customers!$A$1:$A$1001,customers!$C$1:$C$1001,0)=0,"",XLOOKUP(C121,customers!$A$1:$A$1001,customers!$C$1:$C$1001,0))</f>
        <v>cswitsur3b@chronoengine.com</v>
      </c>
      <c r="H120" s="1" t="str">
        <f t="array" ref="H120">XLOOKUP(C120,customers!$A$1:$A$1001,customers!$F$1:$F$1001,0)</f>
        <v>Anchorage</v>
      </c>
    </row>
    <row r="121" ht="15.75" customHeight="1">
      <c r="A121" s="1" t="s">
        <v>284</v>
      </c>
      <c r="B121" s="2">
        <v>44471.0</v>
      </c>
      <c r="C121" s="1" t="s">
        <v>285</v>
      </c>
      <c r="D121" s="3" t="s">
        <v>77</v>
      </c>
      <c r="E121" s="1">
        <v>1.0</v>
      </c>
      <c r="F121" s="1" t="str">
        <f t="array" ref="F121">XLOOKUP(C121,customers!A120:A1120, customers!B120:B1120,0)</f>
        <v>Cordi Switsur</v>
      </c>
      <c r="G121" s="1" t="str">
        <f t="array" ref="G121">IF(XLOOKUP(C122,customers!$A$1:$A$1001,customers!$C$1:$C$1001,0)=0,"",XLOOKUP(C122,customers!$A$1:$A$1001,customers!$C$1:$C$1001,0))</f>
        <v>cswitsur3b@chronoengine.com</v>
      </c>
      <c r="H121" s="1" t="str">
        <f t="array" ref="H121">XLOOKUP(C121,customers!$A$1:$A$1001,customers!$F$1:$F$1001,0)</f>
        <v>Nashville</v>
      </c>
    </row>
    <row r="122" ht="15.75" customHeight="1">
      <c r="A122" s="1" t="s">
        <v>284</v>
      </c>
      <c r="B122" s="2">
        <v>44471.0</v>
      </c>
      <c r="C122" s="1" t="s">
        <v>285</v>
      </c>
      <c r="D122" s="3" t="s">
        <v>128</v>
      </c>
      <c r="E122" s="1">
        <v>1.0</v>
      </c>
      <c r="F122" s="1" t="str">
        <f t="array" ref="F122">XLOOKUP(C122,customers!A121:A1121, customers!B121:B1121,0)</f>
        <v>Cordi Switsur</v>
      </c>
      <c r="G122" s="1" t="str">
        <f t="array" ref="G122">IF(XLOOKUP(C123,customers!$A$1:$A$1001,customers!$C$1:$C$1001,0)=0,"",XLOOKUP(C123,customers!$A$1:$A$1001,customers!$C$1:$C$1001,0))</f>
        <v>cswitsur3b@chronoengine.com</v>
      </c>
      <c r="H122" s="1" t="str">
        <f t="array" ref="H122">XLOOKUP(C122,customers!$A$1:$A$1001,customers!$F$1:$F$1001,0)</f>
        <v>Nashville</v>
      </c>
    </row>
    <row r="123" ht="15.75" customHeight="1">
      <c r="A123" s="1" t="s">
        <v>284</v>
      </c>
      <c r="B123" s="2">
        <v>44471.0</v>
      </c>
      <c r="C123" s="1" t="s">
        <v>285</v>
      </c>
      <c r="D123" s="3" t="s">
        <v>22</v>
      </c>
      <c r="E123" s="1">
        <v>5.0</v>
      </c>
      <c r="F123" s="1">
        <f t="array" ref="F123">XLOOKUP(C123,customers!A122:A1122, customers!B122:B1122,0)</f>
        <v>0</v>
      </c>
      <c r="G123" s="1" t="str">
        <f t="array" ref="G123">IF(XLOOKUP(C124,customers!$A$1:$A$1001,customers!$C$1:$C$1001,0)=0,"",XLOOKUP(C124,customers!$A$1:$A$1001,customers!$C$1:$C$1001,0))</f>
        <v>mludwell3e@blogger.com</v>
      </c>
      <c r="H123" s="1" t="str">
        <f t="array" ref="H123">XLOOKUP(C123,customers!$A$1:$A$1001,customers!$F$1:$F$1001,0)</f>
        <v>Nashville</v>
      </c>
    </row>
    <row r="124" ht="15.75" customHeight="1">
      <c r="A124" s="1" t="s">
        <v>286</v>
      </c>
      <c r="B124" s="2">
        <v>44268.0</v>
      </c>
      <c r="C124" s="1" t="s">
        <v>287</v>
      </c>
      <c r="D124" s="3" t="s">
        <v>85</v>
      </c>
      <c r="E124" s="1">
        <v>4.0</v>
      </c>
      <c r="F124" s="1" t="str">
        <f t="array" ref="F124">XLOOKUP(C124,customers!A123:A1123, customers!B123:B1123,0)</f>
        <v>Mahala Ludwell</v>
      </c>
      <c r="G124" s="1" t="str">
        <f t="array" ref="G124">IF(XLOOKUP(C125,customers!$A$1:$A$1001,customers!$C$1:$C$1001,0)=0,"",XLOOKUP(C125,customers!$A$1:$A$1001,customers!$C$1:$C$1001,0))</f>
        <v>dbeauchamp3f@usda.gov</v>
      </c>
      <c r="H124" s="1" t="str">
        <f t="array" ref="H124">XLOOKUP(C124,customers!$A$1:$A$1001,customers!$F$1:$F$1001,0)</f>
        <v>Denver</v>
      </c>
    </row>
    <row r="125" ht="15.75" customHeight="1">
      <c r="A125" s="1" t="s">
        <v>288</v>
      </c>
      <c r="B125" s="2">
        <v>44724.0</v>
      </c>
      <c r="C125" s="1" t="s">
        <v>289</v>
      </c>
      <c r="D125" s="3" t="s">
        <v>117</v>
      </c>
      <c r="E125" s="1">
        <v>4.0</v>
      </c>
      <c r="F125" s="1" t="str">
        <f t="array" ref="F125">XLOOKUP(C125,customers!A124:A1124, customers!B124:B1124,0)</f>
        <v>Doll Beauchamp</v>
      </c>
      <c r="G125" s="1" t="str">
        <f t="array" ref="G125">IF(XLOOKUP(C126,customers!$A$1:$A$1001,customers!$C$1:$C$1001,0)=0,"",XLOOKUP(C126,customers!$A$1:$A$1001,customers!$C$1:$C$1001,0))</f>
        <v>srodliff3g@ted.com</v>
      </c>
      <c r="H125" s="1" t="str">
        <f t="array" ref="H125">XLOOKUP(C125,customers!$A$1:$A$1001,customers!$F$1:$F$1001,0)</f>
        <v>Stamford</v>
      </c>
    </row>
    <row r="126" ht="15.75" customHeight="1">
      <c r="A126" s="1" t="s">
        <v>290</v>
      </c>
      <c r="B126" s="2">
        <v>43582.0</v>
      </c>
      <c r="C126" s="1" t="s">
        <v>291</v>
      </c>
      <c r="D126" s="3" t="s">
        <v>90</v>
      </c>
      <c r="E126" s="1">
        <v>5.0</v>
      </c>
      <c r="F126" s="1" t="str">
        <f t="array" ref="F126">XLOOKUP(C126,customers!A125:A1125, customers!B125:B1125,0)</f>
        <v>Stanford Rodliff</v>
      </c>
      <c r="G126" s="1" t="str">
        <f t="array" ref="G126">IF(XLOOKUP(C127,customers!$A$1:$A$1001,customers!$C$1:$C$1001,0)=0,"",XLOOKUP(C127,customers!$A$1:$A$1001,customers!$C$1:$C$1001,0))</f>
        <v>swoodham3h@businesswire.com</v>
      </c>
      <c r="H126" s="1" t="str">
        <f t="array" ref="H126">XLOOKUP(C126,customers!$A$1:$A$1001,customers!$F$1:$F$1001,0)</f>
        <v>Newport News</v>
      </c>
    </row>
    <row r="127" ht="15.75" customHeight="1">
      <c r="A127" s="1" t="s">
        <v>292</v>
      </c>
      <c r="B127" s="2">
        <v>43608.0</v>
      </c>
      <c r="C127" s="1" t="s">
        <v>293</v>
      </c>
      <c r="D127" s="3" t="s">
        <v>91</v>
      </c>
      <c r="E127" s="1">
        <v>3.0</v>
      </c>
      <c r="F127" s="1" t="str">
        <f t="array" ref="F127">XLOOKUP(C127,customers!A126:A1126, customers!B126:B1126,0)</f>
        <v>Stevana Woodham</v>
      </c>
      <c r="G127" s="1" t="str">
        <f t="array" ref="G127">IF(XLOOKUP(C128,customers!$A$1:$A$1001,customers!$C$1:$C$1001,0)=0,"",XLOOKUP(C128,customers!$A$1:$A$1001,customers!$C$1:$C$1001,0))</f>
        <v>hsynnot3i@about.com</v>
      </c>
      <c r="H127" s="1" t="str">
        <f t="array" ref="H127">XLOOKUP(C127,customers!$A$1:$A$1001,customers!$F$1:$F$1001,0)</f>
        <v>Drumcondra</v>
      </c>
    </row>
    <row r="128" ht="15.75" customHeight="1">
      <c r="A128" s="1" t="s">
        <v>294</v>
      </c>
      <c r="B128" s="2">
        <v>44026.0</v>
      </c>
      <c r="C128" s="1" t="s">
        <v>295</v>
      </c>
      <c r="D128" s="3" t="s">
        <v>74</v>
      </c>
      <c r="E128" s="1">
        <v>1.0</v>
      </c>
      <c r="F128" s="1" t="str">
        <f t="array" ref="F128">XLOOKUP(C128,customers!A127:A1127, customers!B127:B1127,0)</f>
        <v>Hewet Synnot</v>
      </c>
      <c r="G128" s="1" t="str">
        <f t="array" ref="G128">IF(XLOOKUP(C129,customers!$A$1:$A$1001,customers!$C$1:$C$1001,0)=0,"",XLOOKUP(C129,customers!$A$1:$A$1001,customers!$C$1:$C$1001,0))</f>
        <v>rlepere3j@shop-pro.jp</v>
      </c>
      <c r="H128" s="1" t="str">
        <f t="array" ref="H128">XLOOKUP(C128,customers!$A$1:$A$1001,customers!$F$1:$F$1001,0)</f>
        <v>Anchorage</v>
      </c>
    </row>
    <row r="129" ht="15.75" customHeight="1">
      <c r="A129" s="1" t="s">
        <v>296</v>
      </c>
      <c r="B129" s="2">
        <v>44510.0</v>
      </c>
      <c r="C129" s="1" t="s">
        <v>297</v>
      </c>
      <c r="D129" s="3" t="s">
        <v>26</v>
      </c>
      <c r="E129" s="1">
        <v>6.0</v>
      </c>
      <c r="F129" s="1" t="str">
        <f t="array" ref="F129">XLOOKUP(C129,customers!A128:A1128, customers!B128:B1128,0)</f>
        <v>Raleigh Lepere</v>
      </c>
      <c r="G129" s="1" t="str">
        <f t="array" ref="G129">IF(XLOOKUP(C130,customers!$A$1:$A$1001,customers!$C$1:$C$1001,0)=0,"",XLOOKUP(C130,customers!$A$1:$A$1001,customers!$C$1:$C$1001,0))</f>
        <v>twoofinden3k@businesswire.com</v>
      </c>
      <c r="H129" s="1" t="str">
        <f t="array" ref="H129">XLOOKUP(C129,customers!$A$1:$A$1001,customers!$F$1:$F$1001,0)</f>
        <v>Beaumont</v>
      </c>
    </row>
    <row r="130" ht="15.75" customHeight="1">
      <c r="A130" s="1" t="s">
        <v>298</v>
      </c>
      <c r="B130" s="2">
        <v>44439.0</v>
      </c>
      <c r="C130" s="1" t="s">
        <v>299</v>
      </c>
      <c r="D130" s="3" t="s">
        <v>80</v>
      </c>
      <c r="E130" s="1">
        <v>1.0</v>
      </c>
      <c r="F130" s="1" t="str">
        <f t="array" ref="F130">XLOOKUP(C130,customers!A129:A1129, customers!B129:B1129,0)</f>
        <v>Timofei Woofinden</v>
      </c>
      <c r="G130" s="1" t="str">
        <f t="array" ref="G130">IF(XLOOKUP(C131,customers!$A$1:$A$1001,customers!$C$1:$C$1001,0)=0,"",XLOOKUP(C131,customers!$A$1:$A$1001,customers!$C$1:$C$1001,0))</f>
        <v>edacca3l@google.pl</v>
      </c>
      <c r="H130" s="1" t="str">
        <f t="array" ref="H130">XLOOKUP(C130,customers!$A$1:$A$1001,customers!$F$1:$F$1001,0)</f>
        <v>Fargo</v>
      </c>
    </row>
    <row r="131" ht="15.75" customHeight="1">
      <c r="A131" s="1" t="s">
        <v>300</v>
      </c>
      <c r="B131" s="2">
        <v>43652.0</v>
      </c>
      <c r="C131" s="1" t="s">
        <v>301</v>
      </c>
      <c r="D131" s="3" t="s">
        <v>258</v>
      </c>
      <c r="E131" s="1">
        <v>1.0</v>
      </c>
      <c r="F131" s="1" t="str">
        <f t="array" ref="F131">XLOOKUP(C131,customers!A130:A1130, customers!B130:B1130,0)</f>
        <v>Evelina Dacca</v>
      </c>
      <c r="G131" s="1" t="str">
        <f t="array" ref="G131">IF(XLOOKUP(C132,customers!$A$1:$A$1001,customers!$C$1:$C$1001,0)=0,"",XLOOKUP(C132,customers!$A$1:$A$1001,customers!$C$1:$C$1001,0))</f>
        <v/>
      </c>
      <c r="H131" s="1" t="str">
        <f t="array" ref="H131">XLOOKUP(C131,customers!$A$1:$A$1001,customers!$F$1:$F$1001,0)</f>
        <v>Evansville</v>
      </c>
    </row>
    <row r="132" ht="15.75" customHeight="1">
      <c r="A132" s="1" t="s">
        <v>302</v>
      </c>
      <c r="B132" s="2">
        <v>44624.0</v>
      </c>
      <c r="C132" s="1" t="s">
        <v>303</v>
      </c>
      <c r="D132" s="3" t="s">
        <v>217</v>
      </c>
      <c r="E132" s="1">
        <v>5.0</v>
      </c>
      <c r="F132" s="1" t="str">
        <f t="array" ref="F132">XLOOKUP(C132,customers!A131:A1131, customers!B131:B1131,0)</f>
        <v>Bidget Tremellier</v>
      </c>
      <c r="G132" s="1" t="str">
        <f t="array" ref="G132">IF(XLOOKUP(C133,customers!$A$1:$A$1001,customers!$C$1:$C$1001,0)=0,"",XLOOKUP(C133,customers!$A$1:$A$1001,customers!$C$1:$C$1001,0))</f>
        <v>bhindsberg3n@blogs.com</v>
      </c>
      <c r="H132" s="1" t="str">
        <f t="array" ref="H132">XLOOKUP(C132,customers!$A$1:$A$1001,customers!$F$1:$F$1001,0)</f>
        <v>Cherryville</v>
      </c>
    </row>
    <row r="133" ht="15.75" customHeight="1">
      <c r="A133" s="1" t="s">
        <v>304</v>
      </c>
      <c r="B133" s="2">
        <v>44196.0</v>
      </c>
      <c r="C133" s="1" t="s">
        <v>305</v>
      </c>
      <c r="D133" s="3" t="s">
        <v>29</v>
      </c>
      <c r="E133" s="1">
        <v>2.0</v>
      </c>
      <c r="F133" s="1" t="str">
        <f t="array" ref="F133">XLOOKUP(C133,customers!A132:A1132, customers!B132:B1132,0)</f>
        <v>Bobinette Hindsberg</v>
      </c>
      <c r="G133" s="1" t="str">
        <f t="array" ref="G133">IF(XLOOKUP(C134,customers!$A$1:$A$1001,customers!$C$1:$C$1001,0)=0,"",XLOOKUP(C134,customers!$A$1:$A$1001,customers!$C$1:$C$1001,0))</f>
        <v>orobins3o@salon.com</v>
      </c>
      <c r="H133" s="1" t="str">
        <f t="array" ref="H133">XLOOKUP(C133,customers!$A$1:$A$1001,customers!$F$1:$F$1001,0)</f>
        <v>Charlotte</v>
      </c>
    </row>
    <row r="134" ht="15.75" customHeight="1">
      <c r="A134" s="1" t="s">
        <v>306</v>
      </c>
      <c r="B134" s="2">
        <v>44043.0</v>
      </c>
      <c r="C134" s="1" t="s">
        <v>307</v>
      </c>
      <c r="D134" s="3" t="s">
        <v>217</v>
      </c>
      <c r="E134" s="1">
        <v>5.0</v>
      </c>
      <c r="F134" s="1" t="str">
        <f t="array" ref="F134">XLOOKUP(C134,customers!A133:A1133, customers!B133:B1133,0)</f>
        <v>Osbert Robins</v>
      </c>
      <c r="G134" s="1" t="str">
        <f t="array" ref="G134">IF(XLOOKUP(C135,customers!$A$1:$A$1001,customers!$C$1:$C$1001,0)=0,"",XLOOKUP(C135,customers!$A$1:$A$1001,customers!$C$1:$C$1001,0))</f>
        <v>osyseland3p@independent.co.uk</v>
      </c>
      <c r="H134" s="1" t="str">
        <f t="array" ref="H134">XLOOKUP(C134,customers!$A$1:$A$1001,customers!$F$1:$F$1001,0)</f>
        <v>Huntsville</v>
      </c>
    </row>
    <row r="135" ht="15.75" customHeight="1">
      <c r="A135" s="1" t="s">
        <v>308</v>
      </c>
      <c r="B135" s="2">
        <v>44340.0</v>
      </c>
      <c r="C135" s="1" t="s">
        <v>309</v>
      </c>
      <c r="D135" s="3" t="s">
        <v>26</v>
      </c>
      <c r="E135" s="1">
        <v>1.0</v>
      </c>
      <c r="F135" s="1" t="str">
        <f t="array" ref="F135">XLOOKUP(C135,customers!A134:A1134, customers!B134:B1134,0)</f>
        <v>Othello Syseland</v>
      </c>
      <c r="G135" s="1" t="str">
        <f t="array" ref="G135">IF(XLOOKUP(C136,customers!$A$1:$A$1001,customers!$C$1:$C$1001,0)=0,"",XLOOKUP(C136,customers!$A$1:$A$1001,customers!$C$1:$C$1001,0))</f>
        <v/>
      </c>
      <c r="H135" s="1" t="str">
        <f t="array" ref="H135">XLOOKUP(C135,customers!$A$1:$A$1001,customers!$F$1:$F$1001,0)</f>
        <v>Santa Ana</v>
      </c>
    </row>
    <row r="136" ht="15.75" customHeight="1">
      <c r="A136" s="1" t="s">
        <v>310</v>
      </c>
      <c r="B136" s="2">
        <v>44758.0</v>
      </c>
      <c r="C136" s="1" t="s">
        <v>311</v>
      </c>
      <c r="D136" s="3" t="s">
        <v>125</v>
      </c>
      <c r="E136" s="1">
        <v>3.0</v>
      </c>
      <c r="F136" s="1" t="str">
        <f t="array" ref="F136">XLOOKUP(C136,customers!A135:A1135, customers!B135:B1135,0)</f>
        <v>Ewell Hanby</v>
      </c>
      <c r="G136" s="1" t="str">
        <f t="array" ref="G136">IF(XLOOKUP(C137,customers!$A$1:$A$1001,customers!$C$1:$C$1001,0)=0,"",XLOOKUP(C137,customers!$A$1:$A$1001,customers!$C$1:$C$1001,0))</f>
        <v>bmcamish2e@tripadvisor.com</v>
      </c>
      <c r="H136" s="1" t="str">
        <f t="array" ref="H136">XLOOKUP(C136,customers!$A$1:$A$1001,customers!$F$1:$F$1001,0)</f>
        <v>Washington</v>
      </c>
    </row>
    <row r="137" ht="15.75" customHeight="1">
      <c r="A137" s="1" t="s">
        <v>312</v>
      </c>
      <c r="B137" s="2">
        <v>44232.0</v>
      </c>
      <c r="C137" s="1" t="s">
        <v>313</v>
      </c>
      <c r="D137" s="3" t="s">
        <v>205</v>
      </c>
      <c r="E137" s="1">
        <v>5.0</v>
      </c>
      <c r="F137" s="1">
        <f t="array" ref="F137">XLOOKUP(C137,customers!A136:A1136, customers!B136:B1136,0)</f>
        <v>0</v>
      </c>
      <c r="G137" s="1" t="str">
        <f t="array" ref="G137">IF(XLOOKUP(C138,customers!$A$1:$A$1001,customers!$C$1:$C$1001,0)=0,"",XLOOKUP(C138,customers!$A$1:$A$1001,customers!$C$1:$C$1001,0))</f>
        <v>lkeenleyside3s@topsy.com</v>
      </c>
      <c r="H137" s="1" t="str">
        <f t="array" ref="H137">XLOOKUP(C137,customers!$A$1:$A$1001,customers!$F$1:$F$1001,0)</f>
        <v>Oklahoma City</v>
      </c>
    </row>
    <row r="138" ht="15.75" customHeight="1">
      <c r="A138" s="1" t="s">
        <v>314</v>
      </c>
      <c r="B138" s="2">
        <v>44406.0</v>
      </c>
      <c r="C138" s="1" t="s">
        <v>315</v>
      </c>
      <c r="D138" s="3" t="s">
        <v>67</v>
      </c>
      <c r="E138" s="1">
        <v>4.0</v>
      </c>
      <c r="F138" s="1" t="str">
        <f t="array" ref="F138">XLOOKUP(C138,customers!A137:A1137, customers!B137:B1137,0)</f>
        <v>Lowell Keenleyside</v>
      </c>
      <c r="G138" s="1" t="str">
        <f t="array" ref="G138">IF(XLOOKUP(C139,customers!$A$1:$A$1001,customers!$C$1:$C$1001,0)=0,"",XLOOKUP(C139,customers!$A$1:$A$1001,customers!$C$1:$C$1001,0))</f>
        <v/>
      </c>
      <c r="H138" s="1" t="str">
        <f t="array" ref="H138">XLOOKUP(C138,customers!$A$1:$A$1001,customers!$F$1:$F$1001,0)</f>
        <v>Saint Louis</v>
      </c>
    </row>
    <row r="139" ht="15.75" customHeight="1">
      <c r="A139" s="1" t="s">
        <v>316</v>
      </c>
      <c r="B139" s="2">
        <v>44637.0</v>
      </c>
      <c r="C139" s="1" t="s">
        <v>317</v>
      </c>
      <c r="D139" s="3" t="s">
        <v>43</v>
      </c>
      <c r="E139" s="1">
        <v>3.0</v>
      </c>
      <c r="F139" s="1" t="str">
        <f t="array" ref="F139">XLOOKUP(C139,customers!A138:A1138, customers!B138:B1138,0)</f>
        <v>Elonore Joliffe</v>
      </c>
      <c r="G139" s="1" t="str">
        <f t="array" ref="G139">IF(XLOOKUP(C140,customers!$A$1:$A$1001,customers!$C$1:$C$1001,0)=0,"",XLOOKUP(C140,customers!$A$1:$A$1001,customers!$C$1:$C$1001,0))</f>
        <v/>
      </c>
      <c r="H139" s="1" t="str">
        <f t="array" ref="H139">XLOOKUP(C139,customers!$A$1:$A$1001,customers!$F$1:$F$1001,0)</f>
        <v>Bailieborough</v>
      </c>
    </row>
    <row r="140" ht="15.75" customHeight="1">
      <c r="A140" s="1" t="s">
        <v>318</v>
      </c>
      <c r="B140" s="2">
        <v>44238.0</v>
      </c>
      <c r="C140" s="1" t="s">
        <v>319</v>
      </c>
      <c r="D140" s="3" t="s">
        <v>258</v>
      </c>
      <c r="E140" s="1">
        <v>4.0</v>
      </c>
      <c r="F140" s="1" t="str">
        <f t="array" ref="F140">XLOOKUP(C140,customers!A139:A1139, customers!B139:B1139,0)</f>
        <v>Abraham Coleman</v>
      </c>
      <c r="G140" s="1" t="str">
        <f t="array" ref="G140">IF(XLOOKUP(C141,customers!$A$1:$A$1001,customers!$C$1:$C$1001,0)=0,"",XLOOKUP(C141,customers!$A$1:$A$1001,customers!$C$1:$C$1001,0))</f>
        <v/>
      </c>
      <c r="H140" s="1" t="str">
        <f t="array" ref="H140">XLOOKUP(C140,customers!$A$1:$A$1001,customers!$F$1:$F$1001,0)</f>
        <v>Honolulu</v>
      </c>
    </row>
    <row r="141" ht="15.75" customHeight="1">
      <c r="A141" s="1" t="s">
        <v>320</v>
      </c>
      <c r="B141" s="2">
        <v>43509.0</v>
      </c>
      <c r="C141" s="1" t="s">
        <v>321</v>
      </c>
      <c r="D141" s="3" t="s">
        <v>26</v>
      </c>
      <c r="E141" s="1">
        <v>6.0</v>
      </c>
      <c r="F141" s="1" t="str">
        <f t="array" ref="F141">XLOOKUP(C141,customers!A140:A1140, customers!B140:B1140,0)</f>
        <v>Rivy Farington</v>
      </c>
      <c r="G141" s="1" t="str">
        <f t="array" ref="G141">IF(XLOOKUP(C142,customers!$A$1:$A$1001,customers!$C$1:$C$1001,0)=0,"",XLOOKUP(C142,customers!$A$1:$A$1001,customers!$C$1:$C$1001,0))</f>
        <v>vkundt3w@bigcartel.com</v>
      </c>
      <c r="H141" s="1" t="str">
        <f t="array" ref="H141">XLOOKUP(C141,customers!$A$1:$A$1001,customers!$F$1:$F$1001,0)</f>
        <v>Corona</v>
      </c>
    </row>
    <row r="142" ht="15.75" customHeight="1">
      <c r="A142" s="1" t="s">
        <v>322</v>
      </c>
      <c r="B142" s="2">
        <v>44694.0</v>
      </c>
      <c r="C142" s="1" t="s">
        <v>323</v>
      </c>
      <c r="D142" s="3" t="s">
        <v>122</v>
      </c>
      <c r="E142" s="1">
        <v>1.0</v>
      </c>
      <c r="F142" s="1" t="str">
        <f t="array" ref="F142">XLOOKUP(C142,customers!A141:A1141, customers!B141:B1141,0)</f>
        <v>Vallie Kundt</v>
      </c>
      <c r="G142" s="1" t="str">
        <f t="array" ref="G142">IF(XLOOKUP(C143,customers!$A$1:$A$1001,customers!$C$1:$C$1001,0)=0,"",XLOOKUP(C143,customers!$A$1:$A$1001,customers!$C$1:$C$1001,0))</f>
        <v>bbett3x@google.de</v>
      </c>
      <c r="H142" s="1" t="str">
        <f t="array" ref="H142">XLOOKUP(C142,customers!$A$1:$A$1001,customers!$F$1:$F$1001,0)</f>
        <v>Ballivor</v>
      </c>
    </row>
    <row r="143" ht="15.75" customHeight="1">
      <c r="A143" s="1" t="s">
        <v>324</v>
      </c>
      <c r="B143" s="2">
        <v>43970.0</v>
      </c>
      <c r="C143" s="1" t="s">
        <v>325</v>
      </c>
      <c r="D143" s="3" t="s">
        <v>128</v>
      </c>
      <c r="E143" s="1">
        <v>4.0</v>
      </c>
      <c r="F143" s="1" t="str">
        <f t="array" ref="F143">XLOOKUP(C143,customers!A142:A1142, customers!B142:B1142,0)</f>
        <v>Boyd Bett</v>
      </c>
      <c r="G143" s="1" t="str">
        <f t="array" ref="G143">IF(XLOOKUP(C144,customers!$A$1:$A$1001,customers!$C$1:$C$1001,0)=0,"",XLOOKUP(C144,customers!$A$1:$A$1001,customers!$C$1:$C$1001,0))</f>
        <v/>
      </c>
      <c r="H143" s="1" t="str">
        <f t="array" ref="H143">XLOOKUP(C143,customers!$A$1:$A$1001,customers!$F$1:$F$1001,0)</f>
        <v>Washington</v>
      </c>
    </row>
    <row r="144" ht="15.75" customHeight="1">
      <c r="A144" s="1" t="s">
        <v>326</v>
      </c>
      <c r="B144" s="2">
        <v>44678.0</v>
      </c>
      <c r="C144" s="1" t="s">
        <v>327</v>
      </c>
      <c r="D144" s="3" t="s">
        <v>43</v>
      </c>
      <c r="E144" s="1">
        <v>4.0</v>
      </c>
      <c r="F144" s="1" t="str">
        <f t="array" ref="F144">XLOOKUP(C144,customers!A143:A1143, customers!B143:B1143,0)</f>
        <v>Julio Armytage</v>
      </c>
      <c r="G144" s="1" t="str">
        <f t="array" ref="G144">IF(XLOOKUP(C145,customers!$A$1:$A$1001,customers!$C$1:$C$1001,0)=0,"",XLOOKUP(C145,customers!$A$1:$A$1001,customers!$C$1:$C$1001,0))</f>
        <v>dstaite3z@scientificamerican.com</v>
      </c>
      <c r="H144" s="1" t="str">
        <f t="array" ref="H144">XLOOKUP(C144,customers!$A$1:$A$1001,customers!$F$1:$F$1001,0)</f>
        <v>Portumna</v>
      </c>
    </row>
    <row r="145" ht="15.75" customHeight="1">
      <c r="A145" s="1" t="s">
        <v>328</v>
      </c>
      <c r="B145" s="2">
        <v>44083.0</v>
      </c>
      <c r="C145" s="1" t="s">
        <v>329</v>
      </c>
      <c r="D145" s="3" t="s">
        <v>91</v>
      </c>
      <c r="E145" s="1">
        <v>2.0</v>
      </c>
      <c r="F145" s="1" t="str">
        <f t="array" ref="F145">XLOOKUP(C145,customers!A144:A1144, customers!B144:B1144,0)</f>
        <v>Deana Staite</v>
      </c>
      <c r="G145" s="1" t="str">
        <f t="array" ref="G145">IF(XLOOKUP(C146,customers!$A$1:$A$1001,customers!$C$1:$C$1001,0)=0,"",XLOOKUP(C146,customers!$A$1:$A$1001,customers!$C$1:$C$1001,0))</f>
        <v>wkeyse40@apple.com</v>
      </c>
      <c r="H145" s="1" t="str">
        <f t="array" ref="H145">XLOOKUP(C145,customers!$A$1:$A$1001,customers!$F$1:$F$1001,0)</f>
        <v>Houston</v>
      </c>
    </row>
    <row r="146" ht="15.75" customHeight="1">
      <c r="A146" s="1" t="s">
        <v>330</v>
      </c>
      <c r="B146" s="2">
        <v>44265.0</v>
      </c>
      <c r="C146" s="1" t="s">
        <v>331</v>
      </c>
      <c r="D146" s="3" t="s">
        <v>43</v>
      </c>
      <c r="E146" s="1">
        <v>2.0</v>
      </c>
      <c r="F146" s="1" t="str">
        <f t="array" ref="F146">XLOOKUP(C146,customers!A145:A1145, customers!B145:B1145,0)</f>
        <v>Winn Keyse</v>
      </c>
      <c r="G146" s="1" t="str">
        <f t="array" ref="G146">IF(XLOOKUP(C147,customers!$A$1:$A$1001,customers!$C$1:$C$1001,0)=0,"",XLOOKUP(C147,customers!$A$1:$A$1001,customers!$C$1:$C$1001,0))</f>
        <v>oclausenthue41@marriott.com</v>
      </c>
      <c r="H146" s="1" t="str">
        <f t="array" ref="H146">XLOOKUP(C146,customers!$A$1:$A$1001,customers!$F$1:$F$1001,0)</f>
        <v>Orange</v>
      </c>
    </row>
    <row r="147" ht="15.75" customHeight="1">
      <c r="A147" s="1" t="s">
        <v>332</v>
      </c>
      <c r="B147" s="2">
        <v>43562.0</v>
      </c>
      <c r="C147" s="1" t="s">
        <v>333</v>
      </c>
      <c r="D147" s="3" t="s">
        <v>90</v>
      </c>
      <c r="E147" s="1">
        <v>4.0</v>
      </c>
      <c r="F147" s="1" t="str">
        <f t="array" ref="F147">XLOOKUP(C147,customers!A146:A1146, customers!B146:B1146,0)</f>
        <v>Osmund Clausen-Thue</v>
      </c>
      <c r="G147" s="1" t="str">
        <f t="array" ref="G147">IF(XLOOKUP(C148,customers!$A$1:$A$1001,customers!$C$1:$C$1001,0)=0,"",XLOOKUP(C148,customers!$A$1:$A$1001,customers!$C$1:$C$1001,0))</f>
        <v>lfrancisco42@fema.gov</v>
      </c>
      <c r="H147" s="1" t="str">
        <f t="array" ref="H147">XLOOKUP(C147,customers!$A$1:$A$1001,customers!$F$1:$F$1001,0)</f>
        <v>El Paso</v>
      </c>
    </row>
    <row r="148" ht="15.75" customHeight="1">
      <c r="A148" s="1" t="s">
        <v>334</v>
      </c>
      <c r="B148" s="2">
        <v>44024.0</v>
      </c>
      <c r="C148" s="1" t="s">
        <v>335</v>
      </c>
      <c r="D148" s="3" t="s">
        <v>109</v>
      </c>
      <c r="E148" s="1">
        <v>3.0</v>
      </c>
      <c r="F148" s="1" t="str">
        <f t="array" ref="F148">XLOOKUP(C148,customers!A147:A1147, customers!B147:B1147,0)</f>
        <v>Leonore Francisco</v>
      </c>
      <c r="G148" s="1" t="str">
        <f t="array" ref="G148">IF(XLOOKUP(C149,customers!$A$1:$A$1001,customers!$C$1:$C$1001,0)=0,"",XLOOKUP(C149,customers!$A$1:$A$1001,customers!$C$1:$C$1001,0))</f>
        <v>lfrancisco42@fema.gov</v>
      </c>
      <c r="H148" s="1" t="str">
        <f t="array" ref="H148">XLOOKUP(C148,customers!$A$1:$A$1001,customers!$F$1:$F$1001,0)</f>
        <v>Carson City</v>
      </c>
    </row>
    <row r="149" ht="15.75" customHeight="1">
      <c r="A149" s="1" t="s">
        <v>334</v>
      </c>
      <c r="B149" s="2">
        <v>44024.0</v>
      </c>
      <c r="C149" s="1" t="s">
        <v>335</v>
      </c>
      <c r="D149" s="3" t="s">
        <v>22</v>
      </c>
      <c r="E149" s="1">
        <v>2.0</v>
      </c>
      <c r="F149" s="1" t="str">
        <f t="array" ref="F149">XLOOKUP(C149,customers!A148:A1148, customers!B148:B1148,0)</f>
        <v>Leonore Francisco</v>
      </c>
      <c r="G149" s="1" t="str">
        <f t="array" ref="G149">IF(XLOOKUP(C150,customers!$A$1:$A$1001,customers!$C$1:$C$1001,0)=0,"",XLOOKUP(C150,customers!$A$1:$A$1001,customers!$C$1:$C$1001,0))</f>
        <v>gskingle44@clickbank.net</v>
      </c>
      <c r="H149" s="1" t="str">
        <f t="array" ref="H149">XLOOKUP(C149,customers!$A$1:$A$1001,customers!$F$1:$F$1001,0)</f>
        <v>Carson City</v>
      </c>
    </row>
    <row r="150" ht="15.75" customHeight="1">
      <c r="A150" s="1" t="s">
        <v>336</v>
      </c>
      <c r="B150" s="2">
        <v>44551.0</v>
      </c>
      <c r="C150" s="1" t="s">
        <v>337</v>
      </c>
      <c r="D150" s="3" t="s">
        <v>64</v>
      </c>
      <c r="E150" s="1">
        <v>5.0</v>
      </c>
      <c r="F150" s="1" t="str">
        <f t="array" ref="F150">XLOOKUP(C150,customers!A149:A1149, customers!B149:B1149,0)</f>
        <v>Giacobo Skingle</v>
      </c>
      <c r="G150" s="1" t="str">
        <f t="array" ref="G150">IF(XLOOKUP(C151,customers!$A$1:$A$1001,customers!$C$1:$C$1001,0)=0,"",XLOOKUP(C151,customers!$A$1:$A$1001,customers!$C$1:$C$1001,0))</f>
        <v/>
      </c>
      <c r="H150" s="1" t="str">
        <f t="array" ref="H150">XLOOKUP(C150,customers!$A$1:$A$1001,customers!$F$1:$F$1001,0)</f>
        <v>Provo</v>
      </c>
    </row>
    <row r="151" ht="15.75" customHeight="1">
      <c r="A151" s="1" t="s">
        <v>338</v>
      </c>
      <c r="B151" s="2">
        <v>44108.0</v>
      </c>
      <c r="C151" s="1" t="s">
        <v>339</v>
      </c>
      <c r="D151" s="3" t="s">
        <v>184</v>
      </c>
      <c r="E151" s="1">
        <v>2.0</v>
      </c>
      <c r="F151" s="1" t="str">
        <f t="array" ref="F151">XLOOKUP(C151,customers!A150:A1150, customers!B150:B1150,0)</f>
        <v>Gerard Pirdy</v>
      </c>
      <c r="G151" s="1" t="str">
        <f t="array" ref="G151">IF(XLOOKUP(C152,customers!$A$1:$A$1001,customers!$C$1:$C$1001,0)=0,"",XLOOKUP(C152,customers!$A$1:$A$1001,customers!$C$1:$C$1001,0))</f>
        <v>jbalsillie46@princeton.edu</v>
      </c>
      <c r="H151" s="1" t="str">
        <f t="array" ref="H151">XLOOKUP(C151,customers!$A$1:$A$1001,customers!$F$1:$F$1001,0)</f>
        <v>Boca Raton</v>
      </c>
    </row>
    <row r="152" ht="15.75" customHeight="1">
      <c r="A152" s="1" t="s">
        <v>340</v>
      </c>
      <c r="B152" s="2">
        <v>44051.0</v>
      </c>
      <c r="C152" s="1" t="s">
        <v>341</v>
      </c>
      <c r="D152" s="3" t="s">
        <v>26</v>
      </c>
      <c r="E152" s="1">
        <v>1.0</v>
      </c>
      <c r="F152" s="1" t="str">
        <f t="array" ref="F152">XLOOKUP(C152,customers!A151:A1151, customers!B151:B1151,0)</f>
        <v>Jacinthe Balsillie</v>
      </c>
      <c r="G152" s="1" t="str">
        <f t="array" ref="G152">IF(XLOOKUP(C153,customers!$A$1:$A$1001,customers!$C$1:$C$1001,0)=0,"",XLOOKUP(C153,customers!$A$1:$A$1001,customers!$C$1:$C$1001,0))</f>
        <v/>
      </c>
      <c r="H152" s="1" t="str">
        <f t="array" ref="H152">XLOOKUP(C152,customers!$A$1:$A$1001,customers!$F$1:$F$1001,0)</f>
        <v>Roanoke</v>
      </c>
    </row>
    <row r="153" ht="15.75" customHeight="1">
      <c r="A153" s="1" t="s">
        <v>342</v>
      </c>
      <c r="B153" s="2">
        <v>44115.0</v>
      </c>
      <c r="C153" s="1" t="s">
        <v>343</v>
      </c>
      <c r="D153" s="3" t="s">
        <v>74</v>
      </c>
      <c r="E153" s="1">
        <v>3.0</v>
      </c>
      <c r="F153" s="1" t="str">
        <f t="array" ref="F153">XLOOKUP(C153,customers!A152:A1152, customers!B152:B1152,0)</f>
        <v>Quinton Fouracres</v>
      </c>
      <c r="G153" s="1" t="str">
        <f t="array" ref="G153">IF(XLOOKUP(C154,customers!$A$1:$A$1001,customers!$C$1:$C$1001,0)=0,"",XLOOKUP(C154,customers!$A$1:$A$1001,customers!$C$1:$C$1001,0))</f>
        <v>bleffek48@ning.com</v>
      </c>
      <c r="H153" s="1" t="str">
        <f t="array" ref="H153">XLOOKUP(C153,customers!$A$1:$A$1001,customers!$F$1:$F$1001,0)</f>
        <v>Des Moines</v>
      </c>
    </row>
    <row r="154" ht="15.75" customHeight="1">
      <c r="A154" s="1" t="s">
        <v>344</v>
      </c>
      <c r="B154" s="2">
        <v>44510.0</v>
      </c>
      <c r="C154" s="1" t="s">
        <v>345</v>
      </c>
      <c r="D154" s="3" t="s">
        <v>54</v>
      </c>
      <c r="E154" s="1">
        <v>3.0</v>
      </c>
      <c r="F154" s="1" t="str">
        <f t="array" ref="F154">XLOOKUP(C154,customers!A153:A1153, customers!B153:B1153,0)</f>
        <v>Bettina Leffek</v>
      </c>
      <c r="G154" s="1" t="str">
        <f t="array" ref="G154">IF(XLOOKUP(C155,customers!$A$1:$A$1001,customers!$C$1:$C$1001,0)=0,"",XLOOKUP(C155,customers!$A$1:$A$1001,customers!$C$1:$C$1001,0))</f>
        <v/>
      </c>
      <c r="H154" s="1" t="str">
        <f t="array" ref="H154">XLOOKUP(C154,customers!$A$1:$A$1001,customers!$F$1:$F$1001,0)</f>
        <v>Honolulu</v>
      </c>
    </row>
    <row r="155" ht="15.75" customHeight="1">
      <c r="A155" s="1" t="s">
        <v>346</v>
      </c>
      <c r="B155" s="2">
        <v>44367.0</v>
      </c>
      <c r="C155" s="1" t="s">
        <v>347</v>
      </c>
      <c r="D155" s="3" t="s">
        <v>114</v>
      </c>
      <c r="E155" s="1">
        <v>1.0</v>
      </c>
      <c r="F155" s="1" t="str">
        <f t="array" ref="F155">XLOOKUP(C155,customers!A154:A1154, customers!B154:B1154,0)</f>
        <v>Hetti Penson</v>
      </c>
      <c r="G155" s="1" t="str">
        <f t="array" ref="G155">IF(XLOOKUP(C156,customers!$A$1:$A$1001,customers!$C$1:$C$1001,0)=0,"",XLOOKUP(C156,customers!$A$1:$A$1001,customers!$C$1:$C$1001,0))</f>
        <v>jpray4a@youtube.com</v>
      </c>
      <c r="H155" s="1" t="str">
        <f t="array" ref="H155">XLOOKUP(C155,customers!$A$1:$A$1001,customers!$F$1:$F$1001,0)</f>
        <v>Fort Lauderdale</v>
      </c>
    </row>
    <row r="156" ht="15.75" customHeight="1">
      <c r="A156" s="1" t="s">
        <v>348</v>
      </c>
      <c r="B156" s="2">
        <v>44473.0</v>
      </c>
      <c r="C156" s="1" t="s">
        <v>349</v>
      </c>
      <c r="D156" s="3" t="s">
        <v>131</v>
      </c>
      <c r="E156" s="1">
        <v>5.0</v>
      </c>
      <c r="F156" s="1" t="str">
        <f t="array" ref="F156">XLOOKUP(C156,customers!A155:A1155, customers!B155:B1155,0)</f>
        <v>Jocko Pray</v>
      </c>
      <c r="G156" s="1" t="str">
        <f t="array" ref="G156">IF(XLOOKUP(C157,customers!$A$1:$A$1001,customers!$C$1:$C$1001,0)=0,"",XLOOKUP(C157,customers!$A$1:$A$1001,customers!$C$1:$C$1001,0))</f>
        <v>gholborn4b@ow.ly</v>
      </c>
      <c r="H156" s="1" t="str">
        <f t="array" ref="H156">XLOOKUP(C156,customers!$A$1:$A$1001,customers!$F$1:$F$1001,0)</f>
        <v>Philadelphia</v>
      </c>
    </row>
    <row r="157" ht="15.75" customHeight="1">
      <c r="A157" s="1" t="s">
        <v>350</v>
      </c>
      <c r="B157" s="2">
        <v>43640.0</v>
      </c>
      <c r="C157" s="1" t="s">
        <v>351</v>
      </c>
      <c r="D157" s="3" t="s">
        <v>184</v>
      </c>
      <c r="E157" s="1">
        <v>6.0</v>
      </c>
      <c r="F157" s="1" t="str">
        <f t="array" ref="F157">XLOOKUP(C157,customers!A156:A1156, customers!B156:B1156,0)</f>
        <v>Grete Holborn</v>
      </c>
      <c r="G157" s="1" t="str">
        <f t="array" ref="G157">IF(XLOOKUP(C158,customers!$A$1:$A$1001,customers!$C$1:$C$1001,0)=0,"",XLOOKUP(C158,customers!$A$1:$A$1001,customers!$C$1:$C$1001,0))</f>
        <v>fkeinrat4c@dailymail.co.uk</v>
      </c>
      <c r="H157" s="1" t="str">
        <f t="array" ref="H157">XLOOKUP(C157,customers!$A$1:$A$1001,customers!$F$1:$F$1001,0)</f>
        <v>Norwalk</v>
      </c>
    </row>
    <row r="158" ht="15.75" customHeight="1">
      <c r="A158" s="1" t="s">
        <v>352</v>
      </c>
      <c r="B158" s="2">
        <v>43764.0</v>
      </c>
      <c r="C158" s="1" t="s">
        <v>353</v>
      </c>
      <c r="D158" s="3" t="s">
        <v>184</v>
      </c>
      <c r="E158" s="1">
        <v>3.0</v>
      </c>
      <c r="F158" s="1" t="str">
        <f t="array" ref="F158">XLOOKUP(C158,customers!A157:A1157, customers!B157:B1157,0)</f>
        <v>Fielding Keinrat</v>
      </c>
      <c r="G158" s="1" t="str">
        <f t="array" ref="G158">IF(XLOOKUP(C159,customers!$A$1:$A$1001,customers!$C$1:$C$1001,0)=0,"",XLOOKUP(C159,customers!$A$1:$A$1001,customers!$C$1:$C$1001,0))</f>
        <v>pyea4d@aol.com</v>
      </c>
      <c r="H158" s="1" t="str">
        <f t="array" ref="H158">XLOOKUP(C158,customers!$A$1:$A$1001,customers!$F$1:$F$1001,0)</f>
        <v>Arlington</v>
      </c>
    </row>
    <row r="159" ht="15.75" customHeight="1">
      <c r="A159" s="1" t="s">
        <v>354</v>
      </c>
      <c r="B159" s="2">
        <v>44374.0</v>
      </c>
      <c r="C159" s="1" t="s">
        <v>355</v>
      </c>
      <c r="D159" s="3" t="s">
        <v>48</v>
      </c>
      <c r="E159" s="1">
        <v>3.0</v>
      </c>
      <c r="F159" s="1" t="str">
        <f t="array" ref="F159">XLOOKUP(C159,customers!A158:A1158, customers!B158:B1158,0)</f>
        <v>Paulo Yea</v>
      </c>
      <c r="G159" s="1" t="str">
        <f t="array" ref="G159">IF(XLOOKUP(C160,customers!$A$1:$A$1001,customers!$C$1:$C$1001,0)=0,"",XLOOKUP(C160,customers!$A$1:$A$1001,customers!$C$1:$C$1001,0))</f>
        <v/>
      </c>
      <c r="H159" s="1" t="str">
        <f t="array" ref="H159">XLOOKUP(C159,customers!$A$1:$A$1001,customers!$F$1:$F$1001,0)</f>
        <v>Ashford</v>
      </c>
    </row>
    <row r="160" ht="15.75" customHeight="1">
      <c r="A160" s="1" t="s">
        <v>356</v>
      </c>
      <c r="B160" s="2">
        <v>43714.0</v>
      </c>
      <c r="C160" s="1" t="s">
        <v>357</v>
      </c>
      <c r="D160" s="3" t="s">
        <v>48</v>
      </c>
      <c r="E160" s="1">
        <v>6.0</v>
      </c>
      <c r="F160" s="1" t="str">
        <f t="array" ref="F160">XLOOKUP(C160,customers!A159:A1159, customers!B159:B1159,0)</f>
        <v>Say Risborough</v>
      </c>
      <c r="G160" s="1" t="str">
        <f t="array" ref="G160">IF(XLOOKUP(C161,customers!$A$1:$A$1001,customers!$C$1:$C$1001,0)=0,"",XLOOKUP(C161,customers!$A$1:$A$1001,customers!$C$1:$C$1001,0))</f>
        <v/>
      </c>
      <c r="H160" s="1" t="str">
        <f t="array" ref="H160">XLOOKUP(C160,customers!$A$1:$A$1001,customers!$F$1:$F$1001,0)</f>
        <v>Chattanooga</v>
      </c>
    </row>
    <row r="161" ht="15.75" customHeight="1">
      <c r="A161" s="1" t="s">
        <v>358</v>
      </c>
      <c r="B161" s="2">
        <v>44316.0</v>
      </c>
      <c r="C161" s="1" t="s">
        <v>359</v>
      </c>
      <c r="D161" s="3" t="s">
        <v>117</v>
      </c>
      <c r="E161" s="1">
        <v>6.0</v>
      </c>
      <c r="F161" s="1" t="str">
        <f t="array" ref="F161">XLOOKUP(C161,customers!A160:A1160, customers!B160:B1160,0)</f>
        <v>Alexa Sizey</v>
      </c>
      <c r="G161" s="1" t="str">
        <f t="array" ref="G161">IF(XLOOKUP(C162,customers!$A$1:$A$1001,customers!$C$1:$C$1001,0)=0,"",XLOOKUP(C162,customers!$A$1:$A$1001,customers!$C$1:$C$1001,0))</f>
        <v>kswede4g@addthis.com</v>
      </c>
      <c r="H161" s="1" t="str">
        <f t="array" ref="H161">XLOOKUP(C161,customers!$A$1:$A$1001,customers!$F$1:$F$1001,0)</f>
        <v>Portland</v>
      </c>
    </row>
    <row r="162" ht="15.75" customHeight="1">
      <c r="A162" s="1" t="s">
        <v>360</v>
      </c>
      <c r="B162" s="2">
        <v>43837.0</v>
      </c>
      <c r="C162" s="1" t="s">
        <v>361</v>
      </c>
      <c r="D162" s="3" t="s">
        <v>16</v>
      </c>
      <c r="E162" s="1">
        <v>4.0</v>
      </c>
      <c r="F162" s="1" t="str">
        <f t="array" ref="F162">XLOOKUP(C162,customers!A161:A1161, customers!B161:B1161,0)</f>
        <v>Kari Swede</v>
      </c>
      <c r="G162" s="1" t="str">
        <f t="array" ref="G162">IF(XLOOKUP(C163,customers!$A$1:$A$1001,customers!$C$1:$C$1001,0)=0,"",XLOOKUP(C163,customers!$A$1:$A$1001,customers!$C$1:$C$1001,0))</f>
        <v>lrubrow4h@microsoft.com</v>
      </c>
      <c r="H162" s="1" t="str">
        <f t="array" ref="H162">XLOOKUP(C162,customers!$A$1:$A$1001,customers!$F$1:$F$1001,0)</f>
        <v>Oklahoma City</v>
      </c>
    </row>
    <row r="163" ht="15.75" customHeight="1">
      <c r="A163" s="1" t="s">
        <v>362</v>
      </c>
      <c r="B163" s="2">
        <v>44207.0</v>
      </c>
      <c r="C163" s="1" t="s">
        <v>363</v>
      </c>
      <c r="D163" s="3" t="s">
        <v>205</v>
      </c>
      <c r="E163" s="1">
        <v>3.0</v>
      </c>
      <c r="F163" s="1" t="str">
        <f t="array" ref="F163">XLOOKUP(C163,customers!A162:A1162, customers!B162:B1162,0)</f>
        <v>Leontine Rubrow</v>
      </c>
      <c r="G163" s="1" t="str">
        <f t="array" ref="G163">IF(XLOOKUP(C164,customers!$A$1:$A$1001,customers!$C$1:$C$1001,0)=0,"",XLOOKUP(C164,customers!$A$1:$A$1001,customers!$C$1:$C$1001,0))</f>
        <v>dtift4i@netvibes.com</v>
      </c>
      <c r="H163" s="1" t="str">
        <f t="array" ref="H163">XLOOKUP(C163,customers!$A$1:$A$1001,customers!$F$1:$F$1001,0)</f>
        <v>Washington</v>
      </c>
    </row>
    <row r="164" ht="15.75" customHeight="1">
      <c r="A164" s="1" t="s">
        <v>364</v>
      </c>
      <c r="B164" s="2">
        <v>44515.0</v>
      </c>
      <c r="C164" s="1" t="s">
        <v>365</v>
      </c>
      <c r="D164" s="3" t="s">
        <v>29</v>
      </c>
      <c r="E164" s="1">
        <v>3.0</v>
      </c>
      <c r="F164" s="1" t="str">
        <f t="array" ref="F164">XLOOKUP(C164,customers!A163:A1163, customers!B163:B1163,0)</f>
        <v>Dottie Tift</v>
      </c>
      <c r="G164" s="1" t="str">
        <f t="array" ref="G164">IF(XLOOKUP(C165,customers!$A$1:$A$1001,customers!$C$1:$C$1001,0)=0,"",XLOOKUP(C165,customers!$A$1:$A$1001,customers!$C$1:$C$1001,0))</f>
        <v>gschonfeld4j@oracle.com</v>
      </c>
      <c r="H164" s="1" t="str">
        <f t="array" ref="H164">XLOOKUP(C164,customers!$A$1:$A$1001,customers!$F$1:$F$1001,0)</f>
        <v>Greensboro</v>
      </c>
    </row>
    <row r="165" ht="15.75" customHeight="1">
      <c r="A165" s="1" t="s">
        <v>366</v>
      </c>
      <c r="B165" s="2">
        <v>43619.0</v>
      </c>
      <c r="C165" s="1" t="s">
        <v>367</v>
      </c>
      <c r="D165" s="3" t="s">
        <v>114</v>
      </c>
      <c r="E165" s="1">
        <v>6.0</v>
      </c>
      <c r="F165" s="1" t="str">
        <f t="array" ref="F165">XLOOKUP(C165,customers!A164:A1164, customers!B164:B1164,0)</f>
        <v>Gerardo Schonfeld</v>
      </c>
      <c r="G165" s="1" t="str">
        <f t="array" ref="G165">IF(XLOOKUP(C166,customers!$A$1:$A$1001,customers!$C$1:$C$1001,0)=0,"",XLOOKUP(C166,customers!$A$1:$A$1001,customers!$C$1:$C$1001,0))</f>
        <v>cfeye4k@google.co.jp</v>
      </c>
      <c r="H165" s="1" t="str">
        <f t="array" ref="H165">XLOOKUP(C165,customers!$A$1:$A$1001,customers!$F$1:$F$1001,0)</f>
        <v>Alexandria</v>
      </c>
    </row>
    <row r="166" ht="15.75" customHeight="1">
      <c r="A166" s="1" t="s">
        <v>368</v>
      </c>
      <c r="B166" s="2">
        <v>44182.0</v>
      </c>
      <c r="C166" s="1" t="s">
        <v>369</v>
      </c>
      <c r="D166" s="3" t="s">
        <v>29</v>
      </c>
      <c r="E166" s="1">
        <v>4.0</v>
      </c>
      <c r="F166" s="1" t="str">
        <f t="array" ref="F166">XLOOKUP(C166,customers!A165:A1165, customers!B165:B1165,0)</f>
        <v>Claiborne Feye</v>
      </c>
      <c r="G166" s="1" t="str">
        <f t="array" ref="G166">IF(XLOOKUP(C167,customers!$A$1:$A$1001,customers!$C$1:$C$1001,0)=0,"",XLOOKUP(C167,customers!$A$1:$A$1001,customers!$C$1:$C$1001,0))</f>
        <v/>
      </c>
      <c r="H166" s="1" t="str">
        <f t="array" ref="H166">XLOOKUP(C166,customers!$A$1:$A$1001,customers!$F$1:$F$1001,0)</f>
        <v>Castlebridge</v>
      </c>
    </row>
    <row r="167" ht="15.75" customHeight="1">
      <c r="A167" s="1" t="s">
        <v>370</v>
      </c>
      <c r="B167" s="2">
        <v>44234.0</v>
      </c>
      <c r="C167" s="1" t="s">
        <v>371</v>
      </c>
      <c r="D167" s="3" t="s">
        <v>192</v>
      </c>
      <c r="E167" s="1">
        <v>6.0</v>
      </c>
      <c r="F167" s="1" t="str">
        <f t="array" ref="F167">XLOOKUP(C167,customers!A166:A1166, customers!B166:B1166,0)</f>
        <v>Mina Elstone</v>
      </c>
      <c r="G167" s="1" t="str">
        <f t="array" ref="G167">IF(XLOOKUP(C168,customers!$A$1:$A$1001,customers!$C$1:$C$1001,0)=0,"",XLOOKUP(C168,customers!$A$1:$A$1001,customers!$C$1:$C$1001,0))</f>
        <v/>
      </c>
      <c r="H167" s="1" t="str">
        <f t="array" ref="H167">XLOOKUP(C167,customers!$A$1:$A$1001,customers!$F$1:$F$1001,0)</f>
        <v>Racine</v>
      </c>
    </row>
    <row r="168" ht="15.75" customHeight="1">
      <c r="A168" s="1" t="s">
        <v>372</v>
      </c>
      <c r="B168" s="2">
        <v>44270.0</v>
      </c>
      <c r="C168" s="1" t="s">
        <v>373</v>
      </c>
      <c r="D168" s="3" t="s">
        <v>159</v>
      </c>
      <c r="E168" s="1">
        <v>5.0</v>
      </c>
      <c r="F168" s="1" t="str">
        <f t="array" ref="F168">XLOOKUP(C168,customers!A167:A1167, customers!B167:B1167,0)</f>
        <v>Sherman Mewrcik</v>
      </c>
      <c r="G168" s="1" t="str">
        <f t="array" ref="G168">IF(XLOOKUP(C169,customers!$A$1:$A$1001,customers!$C$1:$C$1001,0)=0,"",XLOOKUP(C169,customers!$A$1:$A$1001,customers!$C$1:$C$1001,0))</f>
        <v>tfero4n@comsenz.com</v>
      </c>
      <c r="H168" s="1" t="str">
        <f t="array" ref="H168">XLOOKUP(C168,customers!$A$1:$A$1001,customers!$F$1:$F$1001,0)</f>
        <v>Clearwater</v>
      </c>
    </row>
    <row r="169" ht="15.75" customHeight="1">
      <c r="A169" s="1" t="s">
        <v>374</v>
      </c>
      <c r="B169" s="2">
        <v>44777.0</v>
      </c>
      <c r="C169" s="1" t="s">
        <v>375</v>
      </c>
      <c r="D169" s="3" t="s">
        <v>16</v>
      </c>
      <c r="E169" s="1">
        <v>5.0</v>
      </c>
      <c r="F169" s="1" t="str">
        <f t="array" ref="F169">XLOOKUP(C169,customers!A168:A1168, customers!B168:B1168,0)</f>
        <v>Tamarah Fero</v>
      </c>
      <c r="G169" s="1" t="str">
        <f t="array" ref="G169">IF(XLOOKUP(C170,customers!$A$1:$A$1001,customers!$C$1:$C$1001,0)=0,"",XLOOKUP(C170,customers!$A$1:$A$1001,customers!$C$1:$C$1001,0))</f>
        <v/>
      </c>
      <c r="H169" s="1" t="str">
        <f t="array" ref="H169">XLOOKUP(C169,customers!$A$1:$A$1001,customers!$F$1:$F$1001,0)</f>
        <v>Racine</v>
      </c>
    </row>
    <row r="170" ht="15.75" customHeight="1">
      <c r="A170" s="1" t="s">
        <v>376</v>
      </c>
      <c r="B170" s="2">
        <v>43484.0</v>
      </c>
      <c r="C170" s="1" t="s">
        <v>377</v>
      </c>
      <c r="D170" s="3" t="s">
        <v>80</v>
      </c>
      <c r="E170" s="1">
        <v>6.0</v>
      </c>
      <c r="F170" s="1" t="str">
        <f t="array" ref="F170">XLOOKUP(C170,customers!A169:A1169, customers!B169:B1169,0)</f>
        <v>Stanislaus Valsler</v>
      </c>
      <c r="G170" s="1" t="str">
        <f t="array" ref="G170">IF(XLOOKUP(C171,customers!$A$1:$A$1001,customers!$C$1:$C$1001,0)=0,"",XLOOKUP(C171,customers!$A$1:$A$1001,customers!$C$1:$C$1001,0))</f>
        <v>fdauney4p@sphinn.com</v>
      </c>
      <c r="H170" s="1" t="str">
        <f t="array" ref="H170">XLOOKUP(C170,customers!$A$1:$A$1001,customers!$F$1:$F$1001,0)</f>
        <v>Castlebridge</v>
      </c>
    </row>
    <row r="171" ht="15.75" customHeight="1">
      <c r="A171" s="1" t="s">
        <v>378</v>
      </c>
      <c r="B171" s="2">
        <v>44643.0</v>
      </c>
      <c r="C171" s="1" t="s">
        <v>379</v>
      </c>
      <c r="D171" s="3" t="s">
        <v>192</v>
      </c>
      <c r="E171" s="1">
        <v>2.0</v>
      </c>
      <c r="F171" s="1" t="str">
        <f t="array" ref="F171">XLOOKUP(C171,customers!A170:A1170, customers!B170:B1170,0)</f>
        <v>Felita Dauney</v>
      </c>
      <c r="G171" s="1" t="str">
        <f t="array" ref="G171">IF(XLOOKUP(C172,customers!$A$1:$A$1001,customers!$C$1:$C$1001,0)=0,"",XLOOKUP(C172,customers!$A$1:$A$1001,customers!$C$1:$C$1001,0))</f>
        <v>searley4q@youku.com</v>
      </c>
      <c r="H171" s="1" t="str">
        <f t="array" ref="H171">XLOOKUP(C171,customers!$A$1:$A$1001,customers!$F$1:$F$1001,0)</f>
        <v>Castlebellingham</v>
      </c>
    </row>
    <row r="172" ht="15.75" customHeight="1">
      <c r="A172" s="1" t="s">
        <v>380</v>
      </c>
      <c r="B172" s="2">
        <v>44476.0</v>
      </c>
      <c r="C172" s="1" t="s">
        <v>381</v>
      </c>
      <c r="D172" s="3" t="s">
        <v>43</v>
      </c>
      <c r="E172" s="1">
        <v>2.0</v>
      </c>
      <c r="F172" s="1" t="str">
        <f t="array" ref="F172">XLOOKUP(C172,customers!A171:A1171, customers!B171:B1171,0)</f>
        <v>Serena Earley</v>
      </c>
      <c r="G172" s="1" t="str">
        <f t="array" ref="G172">IF(XLOOKUP(C173,customers!$A$1:$A$1001,customers!$C$1:$C$1001,0)=0,"",XLOOKUP(C173,customers!$A$1:$A$1001,customers!$C$1:$C$1001,0))</f>
        <v>mchamberlayne4r@bigcartel.com</v>
      </c>
      <c r="H172" s="1" t="str">
        <f t="array" ref="H172">XLOOKUP(C172,customers!$A$1:$A$1001,customers!$F$1:$F$1001,0)</f>
        <v>Craigavon</v>
      </c>
    </row>
    <row r="173" ht="15.75" customHeight="1">
      <c r="A173" s="1" t="s">
        <v>382</v>
      </c>
      <c r="B173" s="2">
        <v>43544.0</v>
      </c>
      <c r="C173" s="1" t="s">
        <v>383</v>
      </c>
      <c r="D173" s="3" t="s">
        <v>125</v>
      </c>
      <c r="E173" s="1">
        <v>2.0</v>
      </c>
      <c r="F173" s="1" t="str">
        <f t="array" ref="F173">XLOOKUP(C173,customers!A172:A1172, customers!B172:B1172,0)</f>
        <v>Minny Chamberlayne</v>
      </c>
      <c r="G173" s="1" t="str">
        <f t="array" ref="G173">IF(XLOOKUP(C174,customers!$A$1:$A$1001,customers!$C$1:$C$1001,0)=0,"",XLOOKUP(C174,customers!$A$1:$A$1001,customers!$C$1:$C$1001,0))</f>
        <v>bflaherty4s@moonfruit.com</v>
      </c>
      <c r="H173" s="1" t="str">
        <f t="array" ref="H173">XLOOKUP(C173,customers!$A$1:$A$1001,customers!$F$1:$F$1001,0)</f>
        <v>Tampa</v>
      </c>
    </row>
    <row r="174" ht="15.75" customHeight="1">
      <c r="A174" s="1" t="s">
        <v>384</v>
      </c>
      <c r="B174" s="2">
        <v>44545.0</v>
      </c>
      <c r="C174" s="1" t="s">
        <v>385</v>
      </c>
      <c r="D174" s="3" t="s">
        <v>29</v>
      </c>
      <c r="E174" s="1">
        <v>3.0</v>
      </c>
      <c r="F174" s="1" t="str">
        <f t="array" ref="F174">XLOOKUP(C174,customers!A173:A1173, customers!B173:B1173,0)</f>
        <v>Bartholemy Flaherty</v>
      </c>
      <c r="G174" s="1" t="str">
        <f t="array" ref="G174">IF(XLOOKUP(C175,customers!$A$1:$A$1001,customers!$C$1:$C$1001,0)=0,"",XLOOKUP(C175,customers!$A$1:$A$1001,customers!$C$1:$C$1001,0))</f>
        <v>ocolbeck4t@sina.com.cn</v>
      </c>
      <c r="H174" s="1" t="str">
        <f t="array" ref="H174">XLOOKUP(C174,customers!$A$1:$A$1001,customers!$F$1:$F$1001,0)</f>
        <v>Eadestown</v>
      </c>
    </row>
    <row r="175" ht="15.75" customHeight="1">
      <c r="A175" s="1" t="s">
        <v>386</v>
      </c>
      <c r="B175" s="2">
        <v>44720.0</v>
      </c>
      <c r="C175" s="1" t="s">
        <v>387</v>
      </c>
      <c r="D175" s="3" t="s">
        <v>54</v>
      </c>
      <c r="E175" s="1">
        <v>4.0</v>
      </c>
      <c r="F175" s="1" t="str">
        <f t="array" ref="F175">XLOOKUP(C175,customers!A174:A1174, customers!B174:B1174,0)</f>
        <v>Oran Colbeck</v>
      </c>
      <c r="G175" s="1" t="str">
        <f t="array" ref="G175">IF(XLOOKUP(C176,customers!$A$1:$A$1001,customers!$C$1:$C$1001,0)=0,"",XLOOKUP(C176,customers!$A$1:$A$1001,customers!$C$1:$C$1001,0))</f>
        <v/>
      </c>
      <c r="H175" s="1" t="str">
        <f t="array" ref="H175">XLOOKUP(C175,customers!$A$1:$A$1001,customers!$F$1:$F$1001,0)</f>
        <v>Montgomery</v>
      </c>
    </row>
    <row r="176" ht="15.75" customHeight="1">
      <c r="A176" s="1" t="s">
        <v>388</v>
      </c>
      <c r="B176" s="2">
        <v>43813.0</v>
      </c>
      <c r="C176" s="1" t="s">
        <v>389</v>
      </c>
      <c r="D176" s="3" t="s">
        <v>43</v>
      </c>
      <c r="E176" s="1">
        <v>6.0</v>
      </c>
      <c r="F176" s="1" t="str">
        <f t="array" ref="F176">XLOOKUP(C176,customers!A175:A1175, customers!B175:B1175,0)</f>
        <v>Elysee Sketch</v>
      </c>
      <c r="G176" s="1" t="str">
        <f t="array" ref="G176">IF(XLOOKUP(C177,customers!$A$1:$A$1001,customers!$C$1:$C$1001,0)=0,"",XLOOKUP(C177,customers!$A$1:$A$1001,customers!$C$1:$C$1001,0))</f>
        <v>ehobbing4v@nsw.gov.au</v>
      </c>
      <c r="H176" s="1" t="str">
        <f t="array" ref="H176">XLOOKUP(C176,customers!$A$1:$A$1001,customers!$F$1:$F$1001,0)</f>
        <v>Sparks</v>
      </c>
    </row>
    <row r="177" ht="15.75" customHeight="1">
      <c r="A177" s="1" t="s">
        <v>390</v>
      </c>
      <c r="B177" s="2">
        <v>44296.0</v>
      </c>
      <c r="C177" s="1" t="s">
        <v>391</v>
      </c>
      <c r="D177" s="3" t="s">
        <v>125</v>
      </c>
      <c r="E177" s="1">
        <v>2.0</v>
      </c>
      <c r="F177" s="1" t="str">
        <f t="array" ref="F177">XLOOKUP(C177,customers!A176:A1176, customers!B176:B1176,0)</f>
        <v>Ethelda Hobbing</v>
      </c>
      <c r="G177" s="1" t="str">
        <f t="array" ref="G177">IF(XLOOKUP(C178,customers!$A$1:$A$1001,customers!$C$1:$C$1001,0)=0,"",XLOOKUP(C178,customers!$A$1:$A$1001,customers!$C$1:$C$1001,0))</f>
        <v>othynne4w@auda.org.au</v>
      </c>
      <c r="H177" s="1" t="str">
        <f t="array" ref="H177">XLOOKUP(C177,customers!$A$1:$A$1001,customers!$F$1:$F$1001,0)</f>
        <v>Macon</v>
      </c>
    </row>
    <row r="178" ht="15.75" customHeight="1">
      <c r="A178" s="1" t="s">
        <v>392</v>
      </c>
      <c r="B178" s="2">
        <v>43900.0</v>
      </c>
      <c r="C178" s="1" t="s">
        <v>393</v>
      </c>
      <c r="D178" s="3" t="s">
        <v>43</v>
      </c>
      <c r="E178" s="1">
        <v>1.0</v>
      </c>
      <c r="F178" s="1" t="str">
        <f t="array" ref="F178">XLOOKUP(C178,customers!A177:A1177, customers!B177:B1177,0)</f>
        <v>Odille Thynne</v>
      </c>
      <c r="G178" s="1" t="str">
        <f t="array" ref="G178">IF(XLOOKUP(C179,customers!$A$1:$A$1001,customers!$C$1:$C$1001,0)=0,"",XLOOKUP(C179,customers!$A$1:$A$1001,customers!$C$1:$C$1001,0))</f>
        <v>eheining4x@flickr.com</v>
      </c>
      <c r="H178" s="1" t="str">
        <f t="array" ref="H178">XLOOKUP(C178,customers!$A$1:$A$1001,customers!$F$1:$F$1001,0)</f>
        <v>Whittier</v>
      </c>
    </row>
    <row r="179" ht="15.75" customHeight="1">
      <c r="A179" s="1" t="s">
        <v>394</v>
      </c>
      <c r="B179" s="2">
        <v>44120.0</v>
      </c>
      <c r="C179" s="1" t="s">
        <v>395</v>
      </c>
      <c r="D179" s="3" t="s">
        <v>23</v>
      </c>
      <c r="E179" s="1">
        <v>4.0</v>
      </c>
      <c r="F179" s="1" t="str">
        <f t="array" ref="F179">XLOOKUP(C179,customers!A178:A1178, customers!B178:B1178,0)</f>
        <v>Emlynne Heining</v>
      </c>
      <c r="G179" s="1" t="str">
        <f t="array" ref="G179">IF(XLOOKUP(C180,customers!$A$1:$A$1001,customers!$C$1:$C$1001,0)=0,"",XLOOKUP(C180,customers!$A$1:$A$1001,customers!$C$1:$C$1001,0))</f>
        <v>kmelloi4y@imdb.com</v>
      </c>
      <c r="H179" s="1" t="str">
        <f t="array" ref="H179">XLOOKUP(C179,customers!$A$1:$A$1001,customers!$F$1:$F$1001,0)</f>
        <v>Johnson City</v>
      </c>
    </row>
    <row r="180" ht="15.75" customHeight="1">
      <c r="A180" s="1" t="s">
        <v>396</v>
      </c>
      <c r="B180" s="2">
        <v>43746.0</v>
      </c>
      <c r="C180" s="1" t="s">
        <v>397</v>
      </c>
      <c r="D180" s="3" t="s">
        <v>19</v>
      </c>
      <c r="E180" s="1">
        <v>2.0</v>
      </c>
      <c r="F180" s="1" t="str">
        <f t="array" ref="F180">XLOOKUP(C180,customers!A179:A1179, customers!B179:B1179,0)</f>
        <v>Katerina Melloi</v>
      </c>
      <c r="G180" s="1" t="str">
        <f t="array" ref="G180">IF(XLOOKUP(C181,customers!$A$1:$A$1001,customers!$C$1:$C$1001,0)=0,"",XLOOKUP(C181,customers!$A$1:$A$1001,customers!$C$1:$C$1001,0))</f>
        <v/>
      </c>
      <c r="H180" s="1" t="str">
        <f t="array" ref="H180">XLOOKUP(C180,customers!$A$1:$A$1001,customers!$F$1:$F$1001,0)</f>
        <v>Rochester</v>
      </c>
    </row>
    <row r="181" ht="15.75" customHeight="1">
      <c r="A181" s="1" t="s">
        <v>398</v>
      </c>
      <c r="B181" s="2">
        <v>43830.0</v>
      </c>
      <c r="C181" s="1" t="s">
        <v>399</v>
      </c>
      <c r="D181" s="3" t="s">
        <v>67</v>
      </c>
      <c r="E181" s="1">
        <v>1.0</v>
      </c>
      <c r="F181" s="1" t="str">
        <f t="array" ref="F181">XLOOKUP(C181,customers!A180:A1180, customers!B180:B1180,0)</f>
        <v>Tiffany Scardafield</v>
      </c>
      <c r="G181" s="1" t="str">
        <f t="array" ref="G181">IF(XLOOKUP(C182,customers!$A$1:$A$1001,customers!$C$1:$C$1001,0)=0,"",XLOOKUP(C182,customers!$A$1:$A$1001,customers!$C$1:$C$1001,0))</f>
        <v>amussen50@51.la</v>
      </c>
      <c r="H181" s="1" t="str">
        <f t="array" ref="H181">XLOOKUP(C181,customers!$A$1:$A$1001,customers!$F$1:$F$1001,0)</f>
        <v>Portarlington</v>
      </c>
    </row>
    <row r="182" ht="15.75" customHeight="1">
      <c r="A182" s="1" t="s">
        <v>400</v>
      </c>
      <c r="B182" s="2">
        <v>43910.0</v>
      </c>
      <c r="C182" s="1" t="s">
        <v>401</v>
      </c>
      <c r="D182" s="3" t="s">
        <v>267</v>
      </c>
      <c r="E182" s="1">
        <v>5.0</v>
      </c>
      <c r="F182" s="1" t="str">
        <f t="array" ref="F182">XLOOKUP(C182,customers!A181:A1181, customers!B181:B1181,0)</f>
        <v>Abrahan Mussen</v>
      </c>
      <c r="G182" s="1" t="str">
        <f t="array" ref="G182">IF(XLOOKUP(C183,customers!$A$1:$A$1001,customers!$C$1:$C$1001,0)=0,"",XLOOKUP(C183,customers!$A$1:$A$1001,customers!$C$1:$C$1001,0))</f>
        <v>amussen50@51.la</v>
      </c>
      <c r="H182" s="1" t="str">
        <f t="array" ref="H182">XLOOKUP(C182,customers!$A$1:$A$1001,customers!$F$1:$F$1001,0)</f>
        <v>Brooklyn</v>
      </c>
    </row>
    <row r="183" ht="15.75" customHeight="1">
      <c r="A183" s="1" t="s">
        <v>400</v>
      </c>
      <c r="B183" s="2">
        <v>43910.0</v>
      </c>
      <c r="C183" s="1" t="s">
        <v>401</v>
      </c>
      <c r="D183" s="3" t="s">
        <v>85</v>
      </c>
      <c r="E183" s="1">
        <v>5.0</v>
      </c>
      <c r="F183" s="1" t="str">
        <f t="array" ref="F183">XLOOKUP(C183,customers!A182:A1182, customers!B182:B1182,0)</f>
        <v>Abrahan Mussen</v>
      </c>
      <c r="G183" s="1" t="str">
        <f t="array" ref="G183">IF(XLOOKUP(C184,customers!$A$1:$A$1001,customers!$C$1:$C$1001,0)=0,"",XLOOKUP(C184,customers!$A$1:$A$1001,customers!$C$1:$C$1001,0))</f>
        <v>amundford52@nbcnews.com</v>
      </c>
      <c r="H183" s="1" t="str">
        <f t="array" ref="H183">XLOOKUP(C183,customers!$A$1:$A$1001,customers!$F$1:$F$1001,0)</f>
        <v>Brooklyn</v>
      </c>
    </row>
    <row r="184" ht="15.75" customHeight="1">
      <c r="A184" s="1" t="s">
        <v>402</v>
      </c>
      <c r="B184" s="2">
        <v>44284.0</v>
      </c>
      <c r="C184" s="1" t="s">
        <v>403</v>
      </c>
      <c r="D184" s="3" t="s">
        <v>159</v>
      </c>
      <c r="E184" s="1">
        <v>6.0</v>
      </c>
      <c r="F184" s="1" t="str">
        <f t="array" ref="F184">XLOOKUP(C184,customers!A183:A1183, customers!B183:B1183,0)</f>
        <v>Anny Mundford</v>
      </c>
      <c r="G184" s="1" t="str">
        <f t="array" ref="G184">IF(XLOOKUP(C185,customers!$A$1:$A$1001,customers!$C$1:$C$1001,0)=0,"",XLOOKUP(C185,customers!$A$1:$A$1001,customers!$C$1:$C$1001,0))</f>
        <v>twalas53@google.ca</v>
      </c>
      <c r="H184" s="1" t="str">
        <f t="array" ref="H184">XLOOKUP(C184,customers!$A$1:$A$1001,customers!$F$1:$F$1001,0)</f>
        <v>Charlottesville</v>
      </c>
    </row>
    <row r="185" ht="15.75" customHeight="1">
      <c r="A185" s="1" t="s">
        <v>404</v>
      </c>
      <c r="B185" s="2">
        <v>44512.0</v>
      </c>
      <c r="C185" s="1" t="s">
        <v>405</v>
      </c>
      <c r="D185" s="3" t="s">
        <v>77</v>
      </c>
      <c r="E185" s="1">
        <v>2.0</v>
      </c>
      <c r="F185" s="1" t="str">
        <f t="array" ref="F185">XLOOKUP(C185,customers!A184:A1184, customers!B184:B1184,0)</f>
        <v>Tory Walas</v>
      </c>
      <c r="G185" s="1" t="str">
        <f t="array" ref="G185">IF(XLOOKUP(C186,customers!$A$1:$A$1001,customers!$C$1:$C$1001,0)=0,"",XLOOKUP(C186,customers!$A$1:$A$1001,customers!$C$1:$C$1001,0))</f>
        <v>iblazewicz54@thetimes.co.uk</v>
      </c>
      <c r="H185" s="1" t="str">
        <f t="array" ref="H185">XLOOKUP(C185,customers!$A$1:$A$1001,customers!$F$1:$F$1001,0)</f>
        <v>Garland</v>
      </c>
    </row>
    <row r="186" ht="15.75" customHeight="1">
      <c r="A186" s="1" t="s">
        <v>406</v>
      </c>
      <c r="B186" s="2">
        <v>44397.0</v>
      </c>
      <c r="C186" s="1" t="s">
        <v>407</v>
      </c>
      <c r="D186" s="3" t="s">
        <v>205</v>
      </c>
      <c r="E186" s="1">
        <v>4.0</v>
      </c>
      <c r="F186" s="1" t="str">
        <f t="array" ref="F186">XLOOKUP(C186,customers!A185:A1185, customers!B185:B1185,0)</f>
        <v>Isa Blazewicz</v>
      </c>
      <c r="G186" s="1" t="str">
        <f t="array" ref="G186">IF(XLOOKUP(C187,customers!$A$1:$A$1001,customers!$C$1:$C$1001,0)=0,"",XLOOKUP(C187,customers!$A$1:$A$1001,customers!$C$1:$C$1001,0))</f>
        <v>arizzetti55@naver.com</v>
      </c>
      <c r="H186" s="1" t="str">
        <f t="array" ref="H186">XLOOKUP(C186,customers!$A$1:$A$1001,customers!$F$1:$F$1001,0)</f>
        <v>Minneapolis</v>
      </c>
    </row>
    <row r="187" ht="15.75" customHeight="1">
      <c r="A187" s="1" t="s">
        <v>408</v>
      </c>
      <c r="B187" s="2">
        <v>43483.0</v>
      </c>
      <c r="C187" s="1" t="s">
        <v>409</v>
      </c>
      <c r="D187" s="3" t="s">
        <v>29</v>
      </c>
      <c r="E187" s="1">
        <v>5.0</v>
      </c>
      <c r="F187" s="1" t="str">
        <f t="array" ref="F187">XLOOKUP(C187,customers!A186:A1186, customers!B186:B1186,0)</f>
        <v>Angie Rizzetti</v>
      </c>
      <c r="G187" s="1" t="str">
        <f t="array" ref="G187">IF(XLOOKUP(C188,customers!$A$1:$A$1001,customers!$C$1:$C$1001,0)=0,"",XLOOKUP(C188,customers!$A$1:$A$1001,customers!$C$1:$C$1001,0))</f>
        <v>mmeriet56@noaa.gov</v>
      </c>
      <c r="H187" s="1" t="str">
        <f t="array" ref="H187">XLOOKUP(C187,customers!$A$1:$A$1001,customers!$F$1:$F$1001,0)</f>
        <v>Lansing</v>
      </c>
    </row>
    <row r="188" ht="15.75" customHeight="1">
      <c r="A188" s="1" t="s">
        <v>410</v>
      </c>
      <c r="B188" s="2">
        <v>43684.0</v>
      </c>
      <c r="C188" s="1" t="s">
        <v>411</v>
      </c>
      <c r="D188" s="3" t="s">
        <v>54</v>
      </c>
      <c r="E188" s="1">
        <v>3.0</v>
      </c>
      <c r="F188" s="1" t="str">
        <f t="array" ref="F188">XLOOKUP(C188,customers!A187:A1187, customers!B187:B1187,0)</f>
        <v>Mord Meriet</v>
      </c>
      <c r="G188" s="1" t="str">
        <f t="array" ref="G188">IF(XLOOKUP(C189,customers!$A$1:$A$1001,customers!$C$1:$C$1001,0)=0,"",XLOOKUP(C189,customers!$A$1:$A$1001,customers!$C$1:$C$1001,0))</f>
        <v>lpratt57@netvibes.com</v>
      </c>
      <c r="H188" s="1" t="str">
        <f t="array" ref="H188">XLOOKUP(C188,customers!$A$1:$A$1001,customers!$F$1:$F$1001,0)</f>
        <v>Grand Forks</v>
      </c>
    </row>
    <row r="189" ht="15.75" customHeight="1">
      <c r="A189" s="1" t="s">
        <v>412</v>
      </c>
      <c r="B189" s="2">
        <v>44633.0</v>
      </c>
      <c r="C189" s="1" t="s">
        <v>413</v>
      </c>
      <c r="D189" s="3" t="s">
        <v>91</v>
      </c>
      <c r="E189" s="1">
        <v>5.0</v>
      </c>
      <c r="F189" s="1" t="str">
        <f t="array" ref="F189">XLOOKUP(C189,customers!A188:A1188, customers!B188:B1188,0)</f>
        <v>Lawrence Pratt</v>
      </c>
      <c r="G189" s="1" t="str">
        <f t="array" ref="G189">IF(XLOOKUP(C190,customers!$A$1:$A$1001,customers!$C$1:$C$1001,0)=0,"",XLOOKUP(C190,customers!$A$1:$A$1001,customers!$C$1:$C$1001,0))</f>
        <v>akitchingham58@com.com</v>
      </c>
      <c r="H189" s="1" t="str">
        <f t="array" ref="H189">XLOOKUP(C189,customers!$A$1:$A$1001,customers!$F$1:$F$1001,0)</f>
        <v>Anchorage</v>
      </c>
    </row>
    <row r="190" ht="15.75" customHeight="1">
      <c r="A190" s="1" t="s">
        <v>414</v>
      </c>
      <c r="B190" s="2">
        <v>44698.0</v>
      </c>
      <c r="C190" s="1" t="s">
        <v>415</v>
      </c>
      <c r="D190" s="3" t="s">
        <v>267</v>
      </c>
      <c r="E190" s="1">
        <v>1.0</v>
      </c>
      <c r="F190" s="1" t="str">
        <f t="array" ref="F190">XLOOKUP(C190,customers!A189:A1189, customers!B189:B1189,0)</f>
        <v>Astrix Kitchingham</v>
      </c>
      <c r="G190" s="1" t="str">
        <f t="array" ref="G190">IF(XLOOKUP(C191,customers!$A$1:$A$1001,customers!$C$1:$C$1001,0)=0,"",XLOOKUP(C191,customers!$A$1:$A$1001,customers!$C$1:$C$1001,0))</f>
        <v>bbartholin59@xinhuanet.com</v>
      </c>
      <c r="H190" s="1" t="str">
        <f t="array" ref="H190">XLOOKUP(C190,customers!$A$1:$A$1001,customers!$F$1:$F$1001,0)</f>
        <v>Oklahoma City</v>
      </c>
    </row>
    <row r="191" ht="15.75" customHeight="1">
      <c r="A191" s="1" t="s">
        <v>416</v>
      </c>
      <c r="B191" s="2">
        <v>43813.0</v>
      </c>
      <c r="C191" s="1" t="s">
        <v>417</v>
      </c>
      <c r="D191" s="3" t="s">
        <v>109</v>
      </c>
      <c r="E191" s="1">
        <v>3.0</v>
      </c>
      <c r="F191" s="1" t="str">
        <f t="array" ref="F191">XLOOKUP(C191,customers!A190:A1190, customers!B190:B1190,0)</f>
        <v>Burnard Bartholin</v>
      </c>
      <c r="G191" s="1" t="str">
        <f t="array" ref="G191">IF(XLOOKUP(C192,customers!$A$1:$A$1001,customers!$C$1:$C$1001,0)=0,"",XLOOKUP(C192,customers!$A$1:$A$1001,customers!$C$1:$C$1001,0))</f>
        <v>mprinn5a@usa.gov</v>
      </c>
      <c r="H191" s="1" t="str">
        <f t="array" ref="H191">XLOOKUP(C191,customers!$A$1:$A$1001,customers!$F$1:$F$1001,0)</f>
        <v>Tulsa</v>
      </c>
    </row>
    <row r="192" ht="15.75" customHeight="1">
      <c r="A192" s="1" t="s">
        <v>418</v>
      </c>
      <c r="B192" s="2">
        <v>43845.0</v>
      </c>
      <c r="C192" s="1" t="s">
        <v>419</v>
      </c>
      <c r="D192" s="3" t="s">
        <v>210</v>
      </c>
      <c r="E192" s="1">
        <v>1.0</v>
      </c>
      <c r="F192" s="1" t="str">
        <f t="array" ref="F192">XLOOKUP(C192,customers!A191:A1191, customers!B191:B1191,0)</f>
        <v>Madelene Prinn</v>
      </c>
      <c r="G192" s="1" t="str">
        <f t="array" ref="G192">IF(XLOOKUP(C193,customers!$A$1:$A$1001,customers!$C$1:$C$1001,0)=0,"",XLOOKUP(C193,customers!$A$1:$A$1001,customers!$C$1:$C$1001,0))</f>
        <v>abaudino5b@netvibes.com</v>
      </c>
      <c r="H192" s="1" t="str">
        <f t="array" ref="H192">XLOOKUP(C192,customers!$A$1:$A$1001,customers!$F$1:$F$1001,0)</f>
        <v>Detroit</v>
      </c>
    </row>
    <row r="193" ht="15.75" customHeight="1">
      <c r="A193" s="1" t="s">
        <v>420</v>
      </c>
      <c r="B193" s="2">
        <v>43567.0</v>
      </c>
      <c r="C193" s="1" t="s">
        <v>421</v>
      </c>
      <c r="D193" s="3" t="s">
        <v>51</v>
      </c>
      <c r="E193" s="1">
        <v>5.0</v>
      </c>
      <c r="F193" s="1" t="str">
        <f t="array" ref="F193">XLOOKUP(C193,customers!A192:A1192, customers!B192:B1192,0)</f>
        <v>Alisun Baudino</v>
      </c>
      <c r="G193" s="1" t="str">
        <f t="array" ref="G193">IF(XLOOKUP(C194,customers!$A$1:$A$1001,customers!$C$1:$C$1001,0)=0,"",XLOOKUP(C194,customers!$A$1:$A$1001,customers!$C$1:$C$1001,0))</f>
        <v>ppetrushanko5c@blinklist.com</v>
      </c>
      <c r="H193" s="1" t="str">
        <f t="array" ref="H193">XLOOKUP(C193,customers!$A$1:$A$1001,customers!$F$1:$F$1001,0)</f>
        <v>Washington</v>
      </c>
    </row>
    <row r="194" ht="15.75" customHeight="1">
      <c r="A194" s="1" t="s">
        <v>422</v>
      </c>
      <c r="B194" s="2">
        <v>43919.0</v>
      </c>
      <c r="C194" s="1" t="s">
        <v>423</v>
      </c>
      <c r="D194" s="3" t="s">
        <v>258</v>
      </c>
      <c r="E194" s="1">
        <v>6.0</v>
      </c>
      <c r="F194" s="1" t="str">
        <f t="array" ref="F194">XLOOKUP(C194,customers!A193:A1193, customers!B193:B1193,0)</f>
        <v>Philipa Petrushanko</v>
      </c>
      <c r="G194" s="1" t="str">
        <f t="array" ref="G194">IF(XLOOKUP(C195,customers!$A$1:$A$1001,customers!$C$1:$C$1001,0)=0,"",XLOOKUP(C195,customers!$A$1:$A$1001,customers!$C$1:$C$1001,0))</f>
        <v/>
      </c>
      <c r="H194" s="1" t="str">
        <f t="array" ref="H194">XLOOKUP(C194,customers!$A$1:$A$1001,customers!$F$1:$F$1001,0)</f>
        <v>Nenagh</v>
      </c>
    </row>
    <row r="195" ht="15.75" customHeight="1">
      <c r="A195" s="1" t="s">
        <v>424</v>
      </c>
      <c r="B195" s="2">
        <v>44644.0</v>
      </c>
      <c r="C195" s="1" t="s">
        <v>425</v>
      </c>
      <c r="D195" s="3" t="s">
        <v>150</v>
      </c>
      <c r="E195" s="1">
        <v>3.0</v>
      </c>
      <c r="F195" s="1" t="str">
        <f t="array" ref="F195">XLOOKUP(C195,customers!A194:A1194, customers!B194:B1194,0)</f>
        <v>Kimberli Mustchin</v>
      </c>
      <c r="G195" s="1" t="str">
        <f t="array" ref="G195">IF(XLOOKUP(C196,customers!$A$1:$A$1001,customers!$C$1:$C$1001,0)=0,"",XLOOKUP(C196,customers!$A$1:$A$1001,customers!$C$1:$C$1001,0))</f>
        <v>elaird5e@bing.com</v>
      </c>
      <c r="H195" s="1" t="str">
        <f t="array" ref="H195">XLOOKUP(C195,customers!$A$1:$A$1001,customers!$F$1:$F$1001,0)</f>
        <v>Mesa</v>
      </c>
    </row>
    <row r="196" ht="15.75" customHeight="1">
      <c r="A196" s="1" t="s">
        <v>426</v>
      </c>
      <c r="B196" s="2">
        <v>44398.0</v>
      </c>
      <c r="C196" s="1" t="s">
        <v>427</v>
      </c>
      <c r="D196" s="3" t="s">
        <v>29</v>
      </c>
      <c r="E196" s="1">
        <v>5.0</v>
      </c>
      <c r="F196" s="1" t="str">
        <f t="array" ref="F196">XLOOKUP(C196,customers!A195:A1195, customers!B195:B1195,0)</f>
        <v>Emlynne Laird</v>
      </c>
      <c r="G196" s="1" t="str">
        <f t="array" ref="G196">IF(XLOOKUP(C197,customers!$A$1:$A$1001,customers!$C$1:$C$1001,0)=0,"",XLOOKUP(C197,customers!$A$1:$A$1001,customers!$C$1:$C$1001,0))</f>
        <v>mhowsden5f@infoseek.co.jp</v>
      </c>
      <c r="H196" s="1" t="str">
        <f t="array" ref="H196">XLOOKUP(C196,customers!$A$1:$A$1001,customers!$F$1:$F$1001,0)</f>
        <v>Warren</v>
      </c>
    </row>
    <row r="197" ht="15.75" customHeight="1">
      <c r="A197" s="1" t="s">
        <v>428</v>
      </c>
      <c r="B197" s="2">
        <v>43683.0</v>
      </c>
      <c r="C197" s="1" t="s">
        <v>429</v>
      </c>
      <c r="D197" s="3" t="s">
        <v>19</v>
      </c>
      <c r="E197" s="1">
        <v>3.0</v>
      </c>
      <c r="F197" s="1" t="str">
        <f t="array" ref="F197">XLOOKUP(C197,customers!A196:A1196, customers!B196:B1196,0)</f>
        <v>Marlena Howsden</v>
      </c>
      <c r="G197" s="1" t="str">
        <f t="array" ref="G197">IF(XLOOKUP(C198,customers!$A$1:$A$1001,customers!$C$1:$C$1001,0)=0,"",XLOOKUP(C198,customers!$A$1:$A$1001,customers!$C$1:$C$1001,0))</f>
        <v>ncuttler5g@parallels.com</v>
      </c>
      <c r="H197" s="1" t="str">
        <f t="array" ref="H197">XLOOKUP(C197,customers!$A$1:$A$1001,customers!$F$1:$F$1001,0)</f>
        <v>Memphis</v>
      </c>
    </row>
    <row r="198" ht="15.75" customHeight="1">
      <c r="A198" s="1" t="s">
        <v>430</v>
      </c>
      <c r="B198" s="2">
        <v>44339.0</v>
      </c>
      <c r="C198" s="1" t="s">
        <v>431</v>
      </c>
      <c r="D198" s="3" t="s">
        <v>189</v>
      </c>
      <c r="E198" s="1">
        <v>6.0</v>
      </c>
      <c r="F198" s="1" t="str">
        <f t="array" ref="F198">XLOOKUP(C198,customers!A197:A1197, customers!B197:B1197,0)</f>
        <v>Nealson Cuttler</v>
      </c>
      <c r="G198" s="1" t="str">
        <f t="array" ref="G198">IF(XLOOKUP(C199,customers!$A$1:$A$1001,customers!$C$1:$C$1001,0)=0,"",XLOOKUP(C199,customers!$A$1:$A$1001,customers!$C$1:$C$1001,0))</f>
        <v>ncuttler5g@parallels.com</v>
      </c>
      <c r="H198" s="1" t="str">
        <f t="array" ref="H198">XLOOKUP(C198,customers!$A$1:$A$1001,customers!$F$1:$F$1001,0)</f>
        <v>Washington</v>
      </c>
    </row>
    <row r="199" ht="15.75" customHeight="1">
      <c r="A199" s="1" t="s">
        <v>430</v>
      </c>
      <c r="B199" s="2">
        <v>44339.0</v>
      </c>
      <c r="C199" s="1" t="s">
        <v>431</v>
      </c>
      <c r="D199" s="3" t="s">
        <v>122</v>
      </c>
      <c r="E199" s="1">
        <v>2.0</v>
      </c>
      <c r="F199" s="1" t="str">
        <f t="array" ref="F199">XLOOKUP(C199,customers!A198:A1198, customers!B198:B1198,0)</f>
        <v>Nealson Cuttler</v>
      </c>
      <c r="G199" s="1" t="str">
        <f t="array" ref="G199">IF(XLOOKUP(C200,customers!$A$1:$A$1001,customers!$C$1:$C$1001,0)=0,"",XLOOKUP(C200,customers!$A$1:$A$1001,customers!$C$1:$C$1001,0))</f>
        <v>ncuttler5g@parallels.com</v>
      </c>
      <c r="H199" s="1" t="str">
        <f t="array" ref="H199">XLOOKUP(C199,customers!$A$1:$A$1001,customers!$F$1:$F$1001,0)</f>
        <v>Washington</v>
      </c>
    </row>
    <row r="200" ht="15.75" customHeight="1">
      <c r="A200" s="1" t="s">
        <v>430</v>
      </c>
      <c r="B200" s="2">
        <v>44339.0</v>
      </c>
      <c r="C200" s="1" t="s">
        <v>431</v>
      </c>
      <c r="D200" s="3" t="s">
        <v>122</v>
      </c>
      <c r="E200" s="1">
        <v>3.0</v>
      </c>
      <c r="F200" s="1">
        <f t="array" ref="F200">XLOOKUP(C200,customers!A199:A1199, customers!B199:B1199,0)</f>
        <v>0</v>
      </c>
      <c r="G200" s="1" t="str">
        <f t="array" ref="G200">IF(XLOOKUP(C201,customers!$A$1:$A$1001,customers!$C$1:$C$1001,0)=0,"",XLOOKUP(C201,customers!$A$1:$A$1001,customers!$C$1:$C$1001,0))</f>
        <v>ncuttler5g@parallels.com</v>
      </c>
      <c r="H200" s="1" t="str">
        <f t="array" ref="H200">XLOOKUP(C200,customers!$A$1:$A$1001,customers!$F$1:$F$1001,0)</f>
        <v>Washington</v>
      </c>
    </row>
    <row r="201" ht="15.75" customHeight="1">
      <c r="A201" s="1" t="s">
        <v>430</v>
      </c>
      <c r="B201" s="2">
        <v>44339.0</v>
      </c>
      <c r="C201" s="1" t="s">
        <v>431</v>
      </c>
      <c r="D201" s="3" t="s">
        <v>96</v>
      </c>
      <c r="E201" s="1">
        <v>4.0</v>
      </c>
      <c r="F201" s="1">
        <f t="array" ref="F201">XLOOKUP(C201,customers!A200:A1200, customers!B200:B1200,0)</f>
        <v>0</v>
      </c>
      <c r="G201" s="1" t="str">
        <f t="array" ref="G201">IF(XLOOKUP(C202,customers!$A$1:$A$1001,customers!$C$1:$C$1001,0)=0,"",XLOOKUP(C202,customers!$A$1:$A$1001,customers!$C$1:$C$1001,0))</f>
        <v>ncuttler5g@parallels.com</v>
      </c>
      <c r="H201" s="1" t="str">
        <f t="array" ref="H201">XLOOKUP(C201,customers!$A$1:$A$1001,customers!$F$1:$F$1001,0)</f>
        <v>Washington</v>
      </c>
    </row>
    <row r="202" ht="15.75" customHeight="1">
      <c r="A202" s="1" t="s">
        <v>430</v>
      </c>
      <c r="B202" s="2">
        <v>44339.0</v>
      </c>
      <c r="C202" s="1" t="s">
        <v>431</v>
      </c>
      <c r="D202" s="3" t="s">
        <v>22</v>
      </c>
      <c r="E202" s="1">
        <v>3.0</v>
      </c>
      <c r="F202" s="1">
        <f t="array" ref="F202">XLOOKUP(C202,customers!A201:A1201, customers!B201:B1201,0)</f>
        <v>0</v>
      </c>
      <c r="G202" s="1" t="str">
        <f t="array" ref="G202">IF(XLOOKUP(C203,customers!$A$1:$A$1001,customers!$C$1:$C$1001,0)=0,"",XLOOKUP(C203,customers!$A$1:$A$1001,customers!$C$1:$C$1001,0))</f>
        <v/>
      </c>
      <c r="H202" s="1" t="str">
        <f t="array" ref="H202">XLOOKUP(C202,customers!$A$1:$A$1001,customers!$F$1:$F$1001,0)</f>
        <v>Washington</v>
      </c>
    </row>
    <row r="203" ht="15.75" customHeight="1">
      <c r="A203" s="1" t="s">
        <v>432</v>
      </c>
      <c r="B203" s="2">
        <v>44294.0</v>
      </c>
      <c r="C203" s="1" t="s">
        <v>433</v>
      </c>
      <c r="D203" s="3" t="s">
        <v>96</v>
      </c>
      <c r="E203" s="1">
        <v>6.0</v>
      </c>
      <c r="F203" s="1" t="str">
        <f t="array" ref="F203">XLOOKUP(C203,customers!A202:A1202, customers!B202:B1202,0)</f>
        <v>Adriana Lazarus</v>
      </c>
      <c r="G203" s="1" t="str">
        <f t="array" ref="G203">IF(XLOOKUP(C204,customers!$A$1:$A$1001,customers!$C$1:$C$1001,0)=0,"",XLOOKUP(C204,customers!$A$1:$A$1001,customers!$C$1:$C$1001,0))</f>
        <v>tfelip5m@typepad.com</v>
      </c>
      <c r="H203" s="1" t="str">
        <f t="array" ref="H203">XLOOKUP(C203,customers!$A$1:$A$1001,customers!$F$1:$F$1001,0)</f>
        <v>Ogden</v>
      </c>
    </row>
    <row r="204" ht="15.75" customHeight="1">
      <c r="A204" s="1" t="s">
        <v>434</v>
      </c>
      <c r="B204" s="2">
        <v>44486.0</v>
      </c>
      <c r="C204" s="1" t="s">
        <v>435</v>
      </c>
      <c r="D204" s="3" t="s">
        <v>122</v>
      </c>
      <c r="E204" s="1">
        <v>6.0</v>
      </c>
      <c r="F204" s="1" t="str">
        <f t="array" ref="F204">XLOOKUP(C204,customers!A203:A1203, customers!B203:B1203,0)</f>
        <v>Tallie felip</v>
      </c>
      <c r="G204" s="1" t="str">
        <f t="array" ref="G204">IF(XLOOKUP(C205,customers!$A$1:$A$1001,customers!$C$1:$C$1001,0)=0,"",XLOOKUP(C205,customers!$A$1:$A$1001,customers!$C$1:$C$1001,0))</f>
        <v>vle5n@disqus.com</v>
      </c>
      <c r="H204" s="1" t="str">
        <f t="array" ref="H204">XLOOKUP(C204,customers!$A$1:$A$1001,customers!$F$1:$F$1001,0)</f>
        <v>Albany</v>
      </c>
    </row>
    <row r="205" ht="15.75" customHeight="1">
      <c r="A205" s="1" t="s">
        <v>436</v>
      </c>
      <c r="B205" s="2">
        <v>44608.0</v>
      </c>
      <c r="C205" s="1" t="s">
        <v>437</v>
      </c>
      <c r="D205" s="3" t="s">
        <v>32</v>
      </c>
      <c r="E205" s="1">
        <v>1.0</v>
      </c>
      <c r="F205" s="1" t="str">
        <f t="array" ref="F205">XLOOKUP(C205,customers!A204:A1204, customers!B204:B1204,0)</f>
        <v>Vanna Le - Count</v>
      </c>
      <c r="G205" s="1" t="str">
        <f t="array" ref="G205">IF(XLOOKUP(C206,customers!$A$1:$A$1001,customers!$C$1:$C$1001,0)=0,"",XLOOKUP(C206,customers!$A$1:$A$1001,customers!$C$1:$C$1001,0))</f>
        <v/>
      </c>
      <c r="H205" s="1" t="str">
        <f t="array" ref="H205">XLOOKUP(C205,customers!$A$1:$A$1001,customers!$F$1:$F$1001,0)</f>
        <v>Spartanburg</v>
      </c>
    </row>
    <row r="206" ht="15.75" customHeight="1">
      <c r="A206" s="1" t="s">
        <v>438</v>
      </c>
      <c r="B206" s="2">
        <v>44027.0</v>
      </c>
      <c r="C206" s="1" t="s">
        <v>439</v>
      </c>
      <c r="D206" s="3" t="s">
        <v>22</v>
      </c>
      <c r="E206" s="1">
        <v>6.0</v>
      </c>
      <c r="F206" s="1" t="str">
        <f t="array" ref="F206">XLOOKUP(C206,customers!A205:A1205, customers!B205:B1205,0)</f>
        <v>Sarette Ducarel</v>
      </c>
      <c r="G206" s="1" t="str">
        <f t="array" ref="G206">IF(XLOOKUP(C207,customers!$A$1:$A$1001,customers!$C$1:$C$1001,0)=0,"",XLOOKUP(C207,customers!$A$1:$A$1001,customers!$C$1:$C$1001,0))</f>
        <v/>
      </c>
      <c r="H206" s="1" t="str">
        <f t="array" ref="H206">XLOOKUP(C206,customers!$A$1:$A$1001,customers!$F$1:$F$1001,0)</f>
        <v>Staten Island</v>
      </c>
    </row>
    <row r="207" ht="15.75" customHeight="1">
      <c r="A207" s="1" t="s">
        <v>440</v>
      </c>
      <c r="B207" s="2">
        <v>43883.0</v>
      </c>
      <c r="C207" s="1" t="s">
        <v>441</v>
      </c>
      <c r="D207" s="3" t="s">
        <v>114</v>
      </c>
      <c r="E207" s="1">
        <v>3.0</v>
      </c>
      <c r="F207" s="1" t="str">
        <f t="array" ref="F207">XLOOKUP(C207,customers!A206:A1206, customers!B206:B1206,0)</f>
        <v>Kendra Glison</v>
      </c>
      <c r="G207" s="1" t="str">
        <f t="array" ref="G207">IF(XLOOKUP(C208,customers!$A$1:$A$1001,customers!$C$1:$C$1001,0)=0,"",XLOOKUP(C208,customers!$A$1:$A$1001,customers!$C$1:$C$1001,0))</f>
        <v>npoolman5q@howstuffworks.com</v>
      </c>
      <c r="H207" s="1" t="str">
        <f t="array" ref="H207">XLOOKUP(C207,customers!$A$1:$A$1001,customers!$F$1:$F$1001,0)</f>
        <v>Washington</v>
      </c>
    </row>
    <row r="208" ht="15.75" customHeight="1">
      <c r="A208" s="1" t="s">
        <v>442</v>
      </c>
      <c r="B208" s="2">
        <v>44211.0</v>
      </c>
      <c r="C208" s="1" t="s">
        <v>443</v>
      </c>
      <c r="D208" s="3" t="s">
        <v>74</v>
      </c>
      <c r="E208" s="1">
        <v>2.0</v>
      </c>
      <c r="F208" s="1" t="str">
        <f t="array" ref="F208">XLOOKUP(C208,customers!A207:A1207, customers!B207:B1207,0)</f>
        <v>Nertie Poolman</v>
      </c>
      <c r="G208" s="1" t="str">
        <f t="array" ref="G208">IF(XLOOKUP(C209,customers!$A$1:$A$1001,customers!$C$1:$C$1001,0)=0,"",XLOOKUP(C209,customers!$A$1:$A$1001,customers!$C$1:$C$1001,0))</f>
        <v>oduny5r@constantcontact.com</v>
      </c>
      <c r="H208" s="1" t="str">
        <f t="array" ref="H208">XLOOKUP(C208,customers!$A$1:$A$1001,customers!$F$1:$F$1001,0)</f>
        <v>Charlotte</v>
      </c>
    </row>
    <row r="209" ht="15.75" customHeight="1">
      <c r="A209" s="1" t="s">
        <v>444</v>
      </c>
      <c r="B209" s="2">
        <v>44207.0</v>
      </c>
      <c r="C209" s="1" t="s">
        <v>445</v>
      </c>
      <c r="D209" s="3" t="s">
        <v>80</v>
      </c>
      <c r="E209" s="1">
        <v>6.0</v>
      </c>
      <c r="F209" s="1" t="str">
        <f t="array" ref="F209">XLOOKUP(C209,customers!A208:A1208, customers!B208:B1208,0)</f>
        <v>Orbadiah Duny</v>
      </c>
      <c r="G209" s="1" t="str">
        <f t="array" ref="G209">IF(XLOOKUP(C210,customers!$A$1:$A$1001,customers!$C$1:$C$1001,0)=0,"",XLOOKUP(C210,customers!$A$1:$A$1001,customers!$C$1:$C$1001,0))</f>
        <v>chalfhide5s@google.ru</v>
      </c>
      <c r="H209" s="1" t="str">
        <f t="array" ref="H209">XLOOKUP(C209,customers!$A$1:$A$1001,customers!$F$1:$F$1001,0)</f>
        <v>Lubbock</v>
      </c>
    </row>
    <row r="210" ht="15.75" customHeight="1">
      <c r="A210" s="1" t="s">
        <v>446</v>
      </c>
      <c r="B210" s="2">
        <v>44659.0</v>
      </c>
      <c r="C210" s="1" t="s">
        <v>447</v>
      </c>
      <c r="D210" s="3" t="s">
        <v>29</v>
      </c>
      <c r="E210" s="1">
        <v>4.0</v>
      </c>
      <c r="F210" s="1" t="str">
        <f t="array" ref="F210">XLOOKUP(C210,customers!A209:A1209, customers!B209:B1209,0)</f>
        <v>Constance Halfhide</v>
      </c>
      <c r="G210" s="1" t="str">
        <f t="array" ref="G210">IF(XLOOKUP(C211,customers!$A$1:$A$1001,customers!$C$1:$C$1001,0)=0,"",XLOOKUP(C211,customers!$A$1:$A$1001,customers!$C$1:$C$1001,0))</f>
        <v>fmalecky5t@list-manage.com</v>
      </c>
      <c r="H210" s="1" t="str">
        <f t="array" ref="H210">XLOOKUP(C210,customers!$A$1:$A$1001,customers!$F$1:$F$1001,0)</f>
        <v>Fermoy</v>
      </c>
    </row>
    <row r="211" ht="15.75" customHeight="1">
      <c r="A211" s="1" t="s">
        <v>448</v>
      </c>
      <c r="B211" s="2">
        <v>44105.0</v>
      </c>
      <c r="C211" s="1" t="s">
        <v>449</v>
      </c>
      <c r="D211" s="3" t="s">
        <v>80</v>
      </c>
      <c r="E211" s="1">
        <v>1.0</v>
      </c>
      <c r="F211" s="1" t="str">
        <f t="array" ref="F211">XLOOKUP(C211,customers!A210:A1210, customers!B210:B1210,0)</f>
        <v>Fransisco Malecky</v>
      </c>
      <c r="G211" s="1" t="str">
        <f t="array" ref="G211">IF(XLOOKUP(C212,customers!$A$1:$A$1001,customers!$C$1:$C$1001,0)=0,"",XLOOKUP(C212,customers!$A$1:$A$1001,customers!$C$1:$C$1001,0))</f>
        <v>aattwater5u@wikia.com</v>
      </c>
      <c r="H211" s="1" t="str">
        <f t="array" ref="H211">XLOOKUP(C211,customers!$A$1:$A$1001,customers!$F$1:$F$1001,0)</f>
        <v>Whitwell</v>
      </c>
    </row>
    <row r="212" ht="15.75" customHeight="1">
      <c r="A212" s="1" t="s">
        <v>450</v>
      </c>
      <c r="B212" s="2">
        <v>43766.0</v>
      </c>
      <c r="C212" s="1" t="s">
        <v>451</v>
      </c>
      <c r="D212" s="3" t="s">
        <v>26</v>
      </c>
      <c r="E212" s="1">
        <v>4.0</v>
      </c>
      <c r="F212" s="1" t="str">
        <f t="array" ref="F212">XLOOKUP(C212,customers!A211:A1211, customers!B211:B1211,0)</f>
        <v>Anselma Attwater</v>
      </c>
      <c r="G212" s="1" t="str">
        <f t="array" ref="G212">IF(XLOOKUP(C213,customers!$A$1:$A$1001,customers!$C$1:$C$1001,0)=0,"",XLOOKUP(C213,customers!$A$1:$A$1001,customers!$C$1:$C$1001,0))</f>
        <v>mwhellans5v@mapquest.com</v>
      </c>
      <c r="H212" s="1" t="str">
        <f t="array" ref="H212">XLOOKUP(C212,customers!$A$1:$A$1001,customers!$F$1:$F$1001,0)</f>
        <v>Charlottesville</v>
      </c>
    </row>
    <row r="213" ht="15.75" customHeight="1">
      <c r="A213" s="1" t="s">
        <v>452</v>
      </c>
      <c r="B213" s="2">
        <v>44283.0</v>
      </c>
      <c r="C213" s="1" t="s">
        <v>453</v>
      </c>
      <c r="D213" s="3" t="s">
        <v>189</v>
      </c>
      <c r="E213" s="1">
        <v>6.0</v>
      </c>
      <c r="F213" s="1" t="str">
        <f t="array" ref="F213">XLOOKUP(C213,customers!A212:A1212, customers!B212:B1212,0)</f>
        <v>Minette Whellans</v>
      </c>
      <c r="G213" s="1" t="str">
        <f t="array" ref="G213">IF(XLOOKUP(C214,customers!$A$1:$A$1001,customers!$C$1:$C$1001,0)=0,"",XLOOKUP(C214,customers!$A$1:$A$1001,customers!$C$1:$C$1001,0))</f>
        <v>dcamilletti5w@businesswire.com</v>
      </c>
      <c r="H213" s="1" t="str">
        <f t="array" ref="H213">XLOOKUP(C213,customers!$A$1:$A$1001,customers!$F$1:$F$1001,0)</f>
        <v>New York City</v>
      </c>
    </row>
    <row r="214" ht="15.75" customHeight="1">
      <c r="A214" s="1" t="s">
        <v>454</v>
      </c>
      <c r="B214" s="2">
        <v>43921.0</v>
      </c>
      <c r="C214" s="1" t="s">
        <v>455</v>
      </c>
      <c r="D214" s="3" t="s">
        <v>64</v>
      </c>
      <c r="E214" s="1">
        <v>4.0</v>
      </c>
      <c r="F214" s="1" t="str">
        <f t="array" ref="F214">XLOOKUP(C214,customers!A213:A1213, customers!B213:B1213,0)</f>
        <v>Dael Camilletti</v>
      </c>
      <c r="G214" s="1" t="str">
        <f t="array" ref="G214">IF(XLOOKUP(C215,customers!$A$1:$A$1001,customers!$C$1:$C$1001,0)=0,"",XLOOKUP(C215,customers!$A$1:$A$1001,customers!$C$1:$C$1001,0))</f>
        <v>egalgey5x@wufoo.com</v>
      </c>
      <c r="H214" s="1" t="str">
        <f t="array" ref="H214">XLOOKUP(C214,customers!$A$1:$A$1001,customers!$F$1:$F$1001,0)</f>
        <v>Roanoke</v>
      </c>
    </row>
    <row r="215" ht="15.75" customHeight="1">
      <c r="A215" s="1" t="s">
        <v>456</v>
      </c>
      <c r="B215" s="2">
        <v>44646.0</v>
      </c>
      <c r="C215" s="1" t="s">
        <v>457</v>
      </c>
      <c r="D215" s="3" t="s">
        <v>48</v>
      </c>
      <c r="E215" s="1">
        <v>1.0</v>
      </c>
      <c r="F215" s="1" t="str">
        <f t="array" ref="F215">XLOOKUP(C215,customers!A214:A1214, customers!B214:B1214,0)</f>
        <v>Emiline Galgey</v>
      </c>
      <c r="G215" s="1" t="str">
        <f t="array" ref="G215">IF(XLOOKUP(C216,customers!$A$1:$A$1001,customers!$C$1:$C$1001,0)=0,"",XLOOKUP(C216,customers!$A$1:$A$1001,customers!$C$1:$C$1001,0))</f>
        <v>mhame5y@newsvine.com</v>
      </c>
      <c r="H215" s="1" t="str">
        <f t="array" ref="H215">XLOOKUP(C215,customers!$A$1:$A$1001,customers!$F$1:$F$1001,0)</f>
        <v>New York City</v>
      </c>
    </row>
    <row r="216" ht="15.75" customHeight="1">
      <c r="A216" s="1" t="s">
        <v>458</v>
      </c>
      <c r="B216" s="2">
        <v>43775.0</v>
      </c>
      <c r="C216" s="1" t="s">
        <v>459</v>
      </c>
      <c r="D216" s="3" t="s">
        <v>145</v>
      </c>
      <c r="E216" s="1">
        <v>2.0</v>
      </c>
      <c r="F216" s="1" t="str">
        <f t="array" ref="F216">XLOOKUP(C216,customers!A215:A1215, customers!B215:B1215,0)</f>
        <v>Murdock Hame</v>
      </c>
      <c r="G216" s="1" t="str">
        <f t="array" ref="G216">IF(XLOOKUP(C217,customers!$A$1:$A$1001,customers!$C$1:$C$1001,0)=0,"",XLOOKUP(C217,customers!$A$1:$A$1001,customers!$C$1:$C$1001,0))</f>
        <v>igurnee5z@usnews.com</v>
      </c>
      <c r="H216" s="1" t="str">
        <f t="array" ref="H216">XLOOKUP(C216,customers!$A$1:$A$1001,customers!$F$1:$F$1001,0)</f>
        <v>Balally</v>
      </c>
    </row>
    <row r="217" ht="15.75" customHeight="1">
      <c r="A217" s="1" t="s">
        <v>460</v>
      </c>
      <c r="B217" s="2">
        <v>43829.0</v>
      </c>
      <c r="C217" s="1" t="s">
        <v>461</v>
      </c>
      <c r="D217" s="3" t="s">
        <v>51</v>
      </c>
      <c r="E217" s="1">
        <v>6.0</v>
      </c>
      <c r="F217" s="1" t="str">
        <f t="array" ref="F217">XLOOKUP(C217,customers!A216:A1216, customers!B216:B1216,0)</f>
        <v>Ilka Gurnee</v>
      </c>
      <c r="G217" s="1" t="str">
        <f t="array" ref="G217">IF(XLOOKUP(C218,customers!$A$1:$A$1001,customers!$C$1:$C$1001,0)=0,"",XLOOKUP(C218,customers!$A$1:$A$1001,customers!$C$1:$C$1001,0))</f>
        <v>asnowding60@comsenz.com</v>
      </c>
      <c r="H217" s="1" t="str">
        <f t="array" ref="H217">XLOOKUP(C217,customers!$A$1:$A$1001,customers!$F$1:$F$1001,0)</f>
        <v>Salt Lake City</v>
      </c>
    </row>
    <row r="218" ht="15.75" customHeight="1">
      <c r="A218" s="1" t="s">
        <v>462</v>
      </c>
      <c r="B218" s="2">
        <v>44470.0</v>
      </c>
      <c r="C218" s="1" t="s">
        <v>463</v>
      </c>
      <c r="D218" s="3" t="s">
        <v>109</v>
      </c>
      <c r="E218" s="1">
        <v>4.0</v>
      </c>
      <c r="F218" s="1" t="str">
        <f t="array" ref="F218">XLOOKUP(C218,customers!A217:A1217, customers!B217:B1217,0)</f>
        <v>Alfy Snowding</v>
      </c>
      <c r="G218" s="1" t="str">
        <f t="array" ref="G218">IF(XLOOKUP(C219,customers!$A$1:$A$1001,customers!$C$1:$C$1001,0)=0,"",XLOOKUP(C219,customers!$A$1:$A$1001,customers!$C$1:$C$1001,0))</f>
        <v>gpoinsett61@berkeley.edu</v>
      </c>
      <c r="H218" s="1" t="str">
        <f t="array" ref="H218">XLOOKUP(C218,customers!$A$1:$A$1001,customers!$F$1:$F$1001,0)</f>
        <v>Toledo</v>
      </c>
    </row>
    <row r="219" ht="15.75" customHeight="1">
      <c r="A219" s="1" t="s">
        <v>464</v>
      </c>
      <c r="B219" s="2">
        <v>44174.0</v>
      </c>
      <c r="C219" s="1" t="s">
        <v>465</v>
      </c>
      <c r="D219" s="3" t="s">
        <v>189</v>
      </c>
      <c r="E219" s="1">
        <v>4.0</v>
      </c>
      <c r="F219" s="1" t="str">
        <f t="array" ref="F219">XLOOKUP(C219,customers!A218:A1218, customers!B218:B1218,0)</f>
        <v>Godfry Poinsett</v>
      </c>
      <c r="G219" s="1" t="str">
        <f t="array" ref="G219">IF(XLOOKUP(C220,customers!$A$1:$A$1001,customers!$C$1:$C$1001,0)=0,"",XLOOKUP(C220,customers!$A$1:$A$1001,customers!$C$1:$C$1001,0))</f>
        <v>rfurman62@t.co</v>
      </c>
      <c r="H219" s="1" t="str">
        <f t="array" ref="H219">XLOOKUP(C219,customers!$A$1:$A$1001,customers!$F$1:$F$1001,0)</f>
        <v>Pasadena</v>
      </c>
    </row>
    <row r="220" ht="15.75" customHeight="1">
      <c r="A220" s="1" t="s">
        <v>466</v>
      </c>
      <c r="B220" s="2">
        <v>44317.0</v>
      </c>
      <c r="C220" s="1" t="s">
        <v>467</v>
      </c>
      <c r="D220" s="3" t="s">
        <v>74</v>
      </c>
      <c r="E220" s="1">
        <v>5.0</v>
      </c>
      <c r="F220" s="1" t="str">
        <f t="array" ref="F220">XLOOKUP(C220,customers!A219:A1219, customers!B219:B1219,0)</f>
        <v>Rem Furman</v>
      </c>
      <c r="G220" s="1" t="str">
        <f t="array" ref="G220">IF(XLOOKUP(C221,customers!$A$1:$A$1001,customers!$C$1:$C$1001,0)=0,"",XLOOKUP(C221,customers!$A$1:$A$1001,customers!$C$1:$C$1001,0))</f>
        <v>ccrosier63@xrea.com</v>
      </c>
      <c r="H220" s="1" t="str">
        <f t="array" ref="H220">XLOOKUP(C220,customers!$A$1:$A$1001,customers!$F$1:$F$1001,0)</f>
        <v>Kinsale</v>
      </c>
    </row>
    <row r="221" ht="15.75" customHeight="1">
      <c r="A221" s="1" t="s">
        <v>468</v>
      </c>
      <c r="B221" s="2">
        <v>44777.0</v>
      </c>
      <c r="C221" s="1" t="s">
        <v>469</v>
      </c>
      <c r="D221" s="3" t="s">
        <v>195</v>
      </c>
      <c r="E221" s="1">
        <v>3.0</v>
      </c>
      <c r="F221" s="1" t="str">
        <f t="array" ref="F221">XLOOKUP(C221,customers!A220:A1220, customers!B220:B1220,0)</f>
        <v>Charis Crosier</v>
      </c>
      <c r="G221" s="1" t="str">
        <f t="array" ref="G221">IF(XLOOKUP(C222,customers!$A$1:$A$1001,customers!$C$1:$C$1001,0)=0,"",XLOOKUP(C222,customers!$A$1:$A$1001,customers!$C$1:$C$1001,0))</f>
        <v>ccrosier63@xrea.com</v>
      </c>
      <c r="H221" s="1" t="str">
        <f t="array" ref="H221">XLOOKUP(C221,customers!$A$1:$A$1001,customers!$F$1:$F$1001,0)</f>
        <v>Lees Summit</v>
      </c>
    </row>
    <row r="222" ht="15.75" customHeight="1">
      <c r="A222" s="1" t="s">
        <v>468</v>
      </c>
      <c r="B222" s="2">
        <v>44777.0</v>
      </c>
      <c r="C222" s="1" t="s">
        <v>469</v>
      </c>
      <c r="D222" s="3" t="s">
        <v>175</v>
      </c>
      <c r="E222" s="1">
        <v>5.0</v>
      </c>
      <c r="F222" s="1" t="str">
        <f t="array" ref="F222">XLOOKUP(C222,customers!A221:A1221, customers!B221:B1221,0)</f>
        <v>Charis Crosier</v>
      </c>
      <c r="G222" s="1" t="str">
        <f t="array" ref="G222">IF(XLOOKUP(C223,customers!$A$1:$A$1001,customers!$C$1:$C$1001,0)=0,"",XLOOKUP(C223,customers!$A$1:$A$1001,customers!$C$1:$C$1001,0))</f>
        <v>lrushmer65@europa.eu</v>
      </c>
      <c r="H222" s="1" t="str">
        <f t="array" ref="H222">XLOOKUP(C222,customers!$A$1:$A$1001,customers!$F$1:$F$1001,0)</f>
        <v>Lees Summit</v>
      </c>
    </row>
    <row r="223" ht="15.75" customHeight="1">
      <c r="A223" s="1" t="s">
        <v>470</v>
      </c>
      <c r="B223" s="2">
        <v>44513.0</v>
      </c>
      <c r="C223" s="1" t="s">
        <v>471</v>
      </c>
      <c r="D223" s="3" t="s">
        <v>19</v>
      </c>
      <c r="E223" s="1">
        <v>6.0</v>
      </c>
      <c r="F223" s="1" t="str">
        <f t="array" ref="F223">XLOOKUP(C223,customers!A222:A1222, customers!B222:B1222,0)</f>
        <v>Lenka Rushmer</v>
      </c>
      <c r="G223" s="1" t="str">
        <f t="array" ref="G223">IF(XLOOKUP(C224,customers!$A$1:$A$1001,customers!$C$1:$C$1001,0)=0,"",XLOOKUP(C224,customers!$A$1:$A$1001,customers!$C$1:$C$1001,0))</f>
        <v>wedinborough66@github.io</v>
      </c>
      <c r="H223" s="1" t="str">
        <f t="array" ref="H223">XLOOKUP(C223,customers!$A$1:$A$1001,customers!$F$1:$F$1001,0)</f>
        <v>Irvine</v>
      </c>
    </row>
    <row r="224" ht="15.75" customHeight="1">
      <c r="A224" s="1" t="s">
        <v>472</v>
      </c>
      <c r="B224" s="2">
        <v>44090.0</v>
      </c>
      <c r="C224" s="1" t="s">
        <v>473</v>
      </c>
      <c r="D224" s="3" t="s">
        <v>136</v>
      </c>
      <c r="E224" s="1">
        <v>3.0</v>
      </c>
      <c r="F224" s="1" t="str">
        <f t="array" ref="F224">XLOOKUP(C224,customers!A223:A1223, customers!B223:B1223,0)</f>
        <v>Waneta Edinborough</v>
      </c>
      <c r="G224" s="1" t="str">
        <f t="array" ref="G224">IF(XLOOKUP(C225,customers!$A$1:$A$1001,customers!$C$1:$C$1001,0)=0,"",XLOOKUP(C225,customers!$A$1:$A$1001,customers!$C$1:$C$1001,0))</f>
        <v/>
      </c>
      <c r="H224" s="1" t="str">
        <f t="array" ref="H224">XLOOKUP(C224,customers!$A$1:$A$1001,customers!$F$1:$F$1001,0)</f>
        <v>Hicksville</v>
      </c>
    </row>
    <row r="225" ht="15.75" customHeight="1">
      <c r="A225" s="1" t="s">
        <v>474</v>
      </c>
      <c r="B225" s="2">
        <v>44109.0</v>
      </c>
      <c r="C225" s="1" t="s">
        <v>475</v>
      </c>
      <c r="D225" s="3" t="s">
        <v>150</v>
      </c>
      <c r="E225" s="1">
        <v>4.0</v>
      </c>
      <c r="F225" s="1" t="str">
        <f t="array" ref="F225">XLOOKUP(C225,customers!A224:A1224, customers!B224:B1224,0)</f>
        <v>Bobbe Piggott</v>
      </c>
      <c r="G225" s="1" t="str">
        <f t="array" ref="G225">IF(XLOOKUP(C226,customers!$A$1:$A$1001,customers!$C$1:$C$1001,0)=0,"",XLOOKUP(C226,customers!$A$1:$A$1001,customers!$C$1:$C$1001,0))</f>
        <v>kbromehead68@un.org</v>
      </c>
      <c r="H225" s="1" t="str">
        <f t="array" ref="H225">XLOOKUP(C225,customers!$A$1:$A$1001,customers!$F$1:$F$1001,0)</f>
        <v>Washington</v>
      </c>
    </row>
    <row r="226" ht="15.75" customHeight="1">
      <c r="A226" s="1" t="s">
        <v>476</v>
      </c>
      <c r="B226" s="2">
        <v>43836.0</v>
      </c>
      <c r="C226" s="1" t="s">
        <v>477</v>
      </c>
      <c r="D226" s="3" t="s">
        <v>122</v>
      </c>
      <c r="E226" s="1">
        <v>4.0</v>
      </c>
      <c r="F226" s="1" t="str">
        <f t="array" ref="F226">XLOOKUP(C226,customers!A225:A1225, customers!B225:B1225,0)</f>
        <v>Ketty Bromehead</v>
      </c>
      <c r="G226" s="1" t="str">
        <f t="array" ref="G226">IF(XLOOKUP(C227,customers!$A$1:$A$1001,customers!$C$1:$C$1001,0)=0,"",XLOOKUP(C227,customers!$A$1:$A$1001,customers!$C$1:$C$1001,0))</f>
        <v>ewesterman69@si.edu</v>
      </c>
      <c r="H226" s="1" t="str">
        <f t="array" ref="H226">XLOOKUP(C226,customers!$A$1:$A$1001,customers!$F$1:$F$1001,0)</f>
        <v>New York City</v>
      </c>
    </row>
    <row r="227" ht="15.75" customHeight="1">
      <c r="A227" s="1" t="s">
        <v>478</v>
      </c>
      <c r="B227" s="2">
        <v>44337.0</v>
      </c>
      <c r="C227" s="1" t="s">
        <v>479</v>
      </c>
      <c r="D227" s="3" t="s">
        <v>195</v>
      </c>
      <c r="E227" s="1">
        <v>4.0</v>
      </c>
      <c r="F227" s="1" t="str">
        <f t="array" ref="F227">XLOOKUP(C227,customers!A226:A1226, customers!B226:B1226,0)</f>
        <v>Elsbeth Westerman</v>
      </c>
      <c r="G227" s="1" t="str">
        <f t="array" ref="G227">IF(XLOOKUP(C228,customers!$A$1:$A$1001,customers!$C$1:$C$1001,0)=0,"",XLOOKUP(C228,customers!$A$1:$A$1001,customers!$C$1:$C$1001,0))</f>
        <v>ahutchens6a@amazonaws.com</v>
      </c>
      <c r="H227" s="1" t="str">
        <f t="array" ref="H227">XLOOKUP(C227,customers!$A$1:$A$1001,customers!$F$1:$F$1001,0)</f>
        <v>Newmarket on Fergus</v>
      </c>
    </row>
    <row r="228" ht="15.75" customHeight="1">
      <c r="A228" s="1" t="s">
        <v>480</v>
      </c>
      <c r="B228" s="2">
        <v>43887.0</v>
      </c>
      <c r="C228" s="1" t="s">
        <v>481</v>
      </c>
      <c r="D228" s="3" t="s">
        <v>184</v>
      </c>
      <c r="E228" s="1">
        <v>5.0</v>
      </c>
      <c r="F228" s="1" t="str">
        <f t="array" ref="F228">XLOOKUP(C228,customers!A227:A1227, customers!B227:B1227,0)</f>
        <v>Anabelle Hutchens</v>
      </c>
      <c r="G228" s="1" t="str">
        <f t="array" ref="G228">IF(XLOOKUP(C229,customers!$A$1:$A$1001,customers!$C$1:$C$1001,0)=0,"",XLOOKUP(C229,customers!$A$1:$A$1001,customers!$C$1:$C$1001,0))</f>
        <v>nwyvill6b@naver.com</v>
      </c>
      <c r="H228" s="1" t="str">
        <f t="array" ref="H228">XLOOKUP(C228,customers!$A$1:$A$1001,customers!$F$1:$F$1001,0)</f>
        <v>Shawnee Mission</v>
      </c>
    </row>
    <row r="229" ht="15.75" customHeight="1">
      <c r="A229" s="1" t="s">
        <v>482</v>
      </c>
      <c r="B229" s="2">
        <v>43880.0</v>
      </c>
      <c r="C229" s="1" t="s">
        <v>483</v>
      </c>
      <c r="D229" s="3" t="s">
        <v>114</v>
      </c>
      <c r="E229" s="1">
        <v>6.0</v>
      </c>
      <c r="F229" s="1" t="str">
        <f t="array" ref="F229">XLOOKUP(C229,customers!A228:A1228, customers!B228:B1228,0)</f>
        <v>Noak Wyvill</v>
      </c>
      <c r="G229" s="1" t="str">
        <f t="array" ref="G229">IF(XLOOKUP(C230,customers!$A$1:$A$1001,customers!$C$1:$C$1001,0)=0,"",XLOOKUP(C230,customers!$A$1:$A$1001,customers!$C$1:$C$1001,0))</f>
        <v>bmathon6c@barnesandnoble.com</v>
      </c>
      <c r="H229" s="1" t="str">
        <f t="array" ref="H229">XLOOKUP(C229,customers!$A$1:$A$1001,customers!$F$1:$F$1001,0)</f>
        <v>Edinburgh</v>
      </c>
    </row>
    <row r="230" ht="15.75" customHeight="1">
      <c r="A230" s="1" t="s">
        <v>484</v>
      </c>
      <c r="B230" s="2">
        <v>44376.0</v>
      </c>
      <c r="C230" s="1" t="s">
        <v>485</v>
      </c>
      <c r="D230" s="3" t="s">
        <v>195</v>
      </c>
      <c r="E230" s="1">
        <v>5.0</v>
      </c>
      <c r="F230" s="1" t="str">
        <f t="array" ref="F230">XLOOKUP(C230,customers!A229:A1229, customers!B229:B1229,0)</f>
        <v>Beltran Mathon</v>
      </c>
      <c r="G230" s="1" t="str">
        <f t="array" ref="G230">IF(XLOOKUP(C231,customers!$A$1:$A$1001,customers!$C$1:$C$1001,0)=0,"",XLOOKUP(C231,customers!$A$1:$A$1001,customers!$C$1:$C$1001,0))</f>
        <v>kstreight6d@about.com</v>
      </c>
      <c r="H230" s="1" t="str">
        <f t="array" ref="H230">XLOOKUP(C230,customers!$A$1:$A$1001,customers!$F$1:$F$1001,0)</f>
        <v>Sacramento</v>
      </c>
    </row>
    <row r="231" ht="15.75" customHeight="1">
      <c r="A231" s="1" t="s">
        <v>486</v>
      </c>
      <c r="B231" s="2">
        <v>44282.0</v>
      </c>
      <c r="C231" s="1" t="s">
        <v>487</v>
      </c>
      <c r="D231" s="3" t="s">
        <v>90</v>
      </c>
      <c r="E231" s="1">
        <v>2.0</v>
      </c>
      <c r="F231" s="1" t="str">
        <f t="array" ref="F231">XLOOKUP(C231,customers!A230:A1230, customers!B230:B1230,0)</f>
        <v>Kristos Streight</v>
      </c>
      <c r="G231" s="1" t="str">
        <f t="array" ref="G231">IF(XLOOKUP(C232,customers!$A$1:$A$1001,customers!$C$1:$C$1001,0)=0,"",XLOOKUP(C232,customers!$A$1:$A$1001,customers!$C$1:$C$1001,0))</f>
        <v>pcutchie6e@globo.com</v>
      </c>
      <c r="H231" s="1" t="str">
        <f t="array" ref="H231">XLOOKUP(C231,customers!$A$1:$A$1001,customers!$F$1:$F$1001,0)</f>
        <v>Wilkes Barre</v>
      </c>
    </row>
    <row r="232" ht="15.75" customHeight="1">
      <c r="A232" s="1" t="s">
        <v>488</v>
      </c>
      <c r="B232" s="2">
        <v>44496.0</v>
      </c>
      <c r="C232" s="1" t="s">
        <v>489</v>
      </c>
      <c r="D232" s="3" t="s">
        <v>184</v>
      </c>
      <c r="E232" s="1">
        <v>2.0</v>
      </c>
      <c r="F232" s="1" t="str">
        <f t="array" ref="F232">XLOOKUP(C232,customers!A231:A1231, customers!B231:B1231,0)</f>
        <v>Portie Cutchie</v>
      </c>
      <c r="G232" s="1" t="str">
        <f t="array" ref="G232">IF(XLOOKUP(C233,customers!$A$1:$A$1001,customers!$C$1:$C$1001,0)=0,"",XLOOKUP(C233,customers!$A$1:$A$1001,customers!$C$1:$C$1001,0))</f>
        <v/>
      </c>
      <c r="H232" s="1" t="str">
        <f t="array" ref="H232">XLOOKUP(C232,customers!$A$1:$A$1001,customers!$F$1:$F$1001,0)</f>
        <v>Greensboro</v>
      </c>
    </row>
    <row r="233" ht="15.75" customHeight="1">
      <c r="A233" s="1" t="s">
        <v>490</v>
      </c>
      <c r="B233" s="2">
        <v>43628.0</v>
      </c>
      <c r="C233" s="1" t="s">
        <v>491</v>
      </c>
      <c r="D233" s="3" t="s">
        <v>90</v>
      </c>
      <c r="E233" s="1">
        <v>2.0</v>
      </c>
      <c r="F233" s="1" t="str">
        <f t="array" ref="F233">XLOOKUP(C233,customers!A232:A1232, customers!B232:B1232,0)</f>
        <v>Sinclare Edsell</v>
      </c>
      <c r="G233" s="1" t="str">
        <f t="array" ref="G233">IF(XLOOKUP(C234,customers!$A$1:$A$1001,customers!$C$1:$C$1001,0)=0,"",XLOOKUP(C234,customers!$A$1:$A$1001,customers!$C$1:$C$1001,0))</f>
        <v>cgheraldi6g@opera.com</v>
      </c>
      <c r="H233" s="1" t="str">
        <f t="array" ref="H233">XLOOKUP(C233,customers!$A$1:$A$1001,customers!$F$1:$F$1001,0)</f>
        <v>Newark</v>
      </c>
    </row>
    <row r="234" ht="15.75" customHeight="1">
      <c r="A234" s="1" t="s">
        <v>492</v>
      </c>
      <c r="B234" s="2">
        <v>44010.0</v>
      </c>
      <c r="C234" s="1" t="s">
        <v>493</v>
      </c>
      <c r="D234" s="3" t="s">
        <v>32</v>
      </c>
      <c r="E234" s="1">
        <v>5.0</v>
      </c>
      <c r="F234" s="1" t="str">
        <f t="array" ref="F234">XLOOKUP(C234,customers!A233:A1233, customers!B233:B1233,0)</f>
        <v>Conny Gheraldi</v>
      </c>
      <c r="G234" s="1" t="str">
        <f t="array" ref="G234">IF(XLOOKUP(C235,customers!$A$1:$A$1001,customers!$C$1:$C$1001,0)=0,"",XLOOKUP(C235,customers!$A$1:$A$1001,customers!$C$1:$C$1001,0))</f>
        <v>bkenwell6h@over-blog.com</v>
      </c>
      <c r="H234" s="1" t="str">
        <f t="array" ref="H234">XLOOKUP(C234,customers!$A$1:$A$1001,customers!$F$1:$F$1001,0)</f>
        <v>Kinloch</v>
      </c>
    </row>
    <row r="235" ht="15.75" customHeight="1">
      <c r="A235" s="1" t="s">
        <v>494</v>
      </c>
      <c r="B235" s="2">
        <v>44278.0</v>
      </c>
      <c r="C235" s="1" t="s">
        <v>495</v>
      </c>
      <c r="D235" s="3" t="s">
        <v>77</v>
      </c>
      <c r="E235" s="1">
        <v>5.0</v>
      </c>
      <c r="F235" s="1" t="str">
        <f t="array" ref="F235">XLOOKUP(C235,customers!A234:A1234, customers!B234:B1234,0)</f>
        <v>Beryle Kenwell</v>
      </c>
      <c r="G235" s="1" t="str">
        <f t="array" ref="G235">IF(XLOOKUP(C236,customers!$A$1:$A$1001,customers!$C$1:$C$1001,0)=0,"",XLOOKUP(C236,customers!$A$1:$A$1001,customers!$C$1:$C$1001,0))</f>
        <v>tsutty6i@google.es</v>
      </c>
      <c r="H235" s="1" t="str">
        <f t="array" ref="H235">XLOOKUP(C235,customers!$A$1:$A$1001,customers!$F$1:$F$1001,0)</f>
        <v>Honolulu</v>
      </c>
    </row>
    <row r="236" ht="15.75" customHeight="1">
      <c r="A236" s="1" t="s">
        <v>496</v>
      </c>
      <c r="B236" s="2">
        <v>44602.0</v>
      </c>
      <c r="C236" s="1" t="s">
        <v>497</v>
      </c>
      <c r="D236" s="3" t="s">
        <v>117</v>
      </c>
      <c r="E236" s="1">
        <v>1.0</v>
      </c>
      <c r="F236" s="1" t="str">
        <f t="array" ref="F236">XLOOKUP(C236,customers!A235:A1235, customers!B235:B1235,0)</f>
        <v>Tomas Sutty</v>
      </c>
      <c r="G236" s="1" t="str">
        <f t="array" ref="G236">IF(XLOOKUP(C237,customers!$A$1:$A$1001,customers!$C$1:$C$1001,0)=0,"",XLOOKUP(C237,customers!$A$1:$A$1001,customers!$C$1:$C$1001,0))</f>
        <v/>
      </c>
      <c r="H236" s="1" t="str">
        <f t="array" ref="H236">XLOOKUP(C236,customers!$A$1:$A$1001,customers!$F$1:$F$1001,0)</f>
        <v>New York City</v>
      </c>
    </row>
    <row r="237" ht="15.75" customHeight="1">
      <c r="A237" s="1" t="s">
        <v>498</v>
      </c>
      <c r="B237" s="2">
        <v>43571.0</v>
      </c>
      <c r="C237" s="1" t="s">
        <v>499</v>
      </c>
      <c r="D237" s="3" t="s">
        <v>117</v>
      </c>
      <c r="E237" s="1">
        <v>5.0</v>
      </c>
      <c r="F237" s="1" t="str">
        <f t="array" ref="F237">XLOOKUP(C237,customers!A236:A1236, customers!B236:B1236,0)</f>
        <v>Samuele Ales0</v>
      </c>
      <c r="G237" s="1" t="str">
        <f t="array" ref="G237">IF(XLOOKUP(C238,customers!$A$1:$A$1001,customers!$C$1:$C$1001,0)=0,"",XLOOKUP(C238,customers!$A$1:$A$1001,customers!$C$1:$C$1001,0))</f>
        <v>charce6k@cafepress.com</v>
      </c>
      <c r="H237" s="1" t="str">
        <f t="array" ref="H237">XLOOKUP(C237,customers!$A$1:$A$1001,customers!$F$1:$F$1001,0)</f>
        <v>Ballinroad</v>
      </c>
    </row>
    <row r="238" ht="15.75" customHeight="1">
      <c r="A238" s="1" t="s">
        <v>500</v>
      </c>
      <c r="B238" s="2">
        <v>43873.0</v>
      </c>
      <c r="C238" s="1" t="s">
        <v>501</v>
      </c>
      <c r="D238" s="3" t="s">
        <v>122</v>
      </c>
      <c r="E238" s="1">
        <v>3.0</v>
      </c>
      <c r="F238" s="1" t="str">
        <f t="array" ref="F238">XLOOKUP(C238,customers!A237:A1237, customers!B237:B1237,0)</f>
        <v>Carlie Harce</v>
      </c>
      <c r="G238" s="1" t="str">
        <f t="array" ref="G238">IF(XLOOKUP(C239,customers!$A$1:$A$1001,customers!$C$1:$C$1001,0)=0,"",XLOOKUP(C239,customers!$A$1:$A$1001,customers!$C$1:$C$1001,0))</f>
        <v/>
      </c>
      <c r="H238" s="1" t="str">
        <f t="array" ref="H238">XLOOKUP(C238,customers!$A$1:$A$1001,customers!$F$1:$F$1001,0)</f>
        <v>D煤n Laoghaire</v>
      </c>
    </row>
    <row r="239" ht="15.75" customHeight="1">
      <c r="A239" s="1" t="s">
        <v>502</v>
      </c>
      <c r="B239" s="2">
        <v>44563.0</v>
      </c>
      <c r="C239" s="1" t="s">
        <v>503</v>
      </c>
      <c r="D239" s="3" t="s">
        <v>195</v>
      </c>
      <c r="E239" s="1">
        <v>1.0</v>
      </c>
      <c r="F239" s="1" t="str">
        <f t="array" ref="F239">XLOOKUP(C239,customers!A238:A1238, customers!B238:B1238,0)</f>
        <v>Craggy Bril</v>
      </c>
      <c r="G239" s="1" t="str">
        <f t="array" ref="G239">IF(XLOOKUP(C240,customers!$A$1:$A$1001,customers!$C$1:$C$1001,0)=0,"",XLOOKUP(C240,customers!$A$1:$A$1001,customers!$C$1:$C$1001,0))</f>
        <v>fdrysdale6m@symantec.com</v>
      </c>
      <c r="H239" s="1" t="str">
        <f t="array" ref="H239">XLOOKUP(C239,customers!$A$1:$A$1001,customers!$F$1:$F$1001,0)</f>
        <v>Cincinnati</v>
      </c>
    </row>
    <row r="240" ht="15.75" customHeight="1">
      <c r="A240" s="1" t="s">
        <v>504</v>
      </c>
      <c r="B240" s="2">
        <v>44172.0</v>
      </c>
      <c r="C240" s="1" t="s">
        <v>505</v>
      </c>
      <c r="D240" s="3" t="s">
        <v>54</v>
      </c>
      <c r="E240" s="1">
        <v>2.0</v>
      </c>
      <c r="F240" s="1" t="str">
        <f t="array" ref="F240">XLOOKUP(C240,customers!A239:A1239, customers!B239:B1239,0)</f>
        <v>Friederike Drysdale</v>
      </c>
      <c r="G240" s="1" t="str">
        <f t="array" ref="G240">IF(XLOOKUP(C241,customers!$A$1:$A$1001,customers!$C$1:$C$1001,0)=0,"",XLOOKUP(C241,customers!$A$1:$A$1001,customers!$C$1:$C$1001,0))</f>
        <v>dmagowan6n@fc2.com</v>
      </c>
      <c r="H240" s="1" t="str">
        <f t="array" ref="H240">XLOOKUP(C240,customers!$A$1:$A$1001,customers!$F$1:$F$1001,0)</f>
        <v>Midland</v>
      </c>
    </row>
    <row r="241" ht="15.75" customHeight="1">
      <c r="A241" s="1" t="s">
        <v>506</v>
      </c>
      <c r="B241" s="2">
        <v>43881.0</v>
      </c>
      <c r="C241" s="1" t="s">
        <v>507</v>
      </c>
      <c r="D241" s="3" t="s">
        <v>150</v>
      </c>
      <c r="E241" s="1">
        <v>4.0</v>
      </c>
      <c r="F241" s="1" t="str">
        <f t="array" ref="F241">XLOOKUP(C241,customers!A240:A1240, customers!B240:B1240,0)</f>
        <v>Devon Magowan</v>
      </c>
      <c r="G241" s="1" t="str">
        <f t="array" ref="G241">IF(XLOOKUP(C242,customers!$A$1:$A$1001,customers!$C$1:$C$1001,0)=0,"",XLOOKUP(C242,customers!$A$1:$A$1001,customers!$C$1:$C$1001,0))</f>
        <v/>
      </c>
      <c r="H241" s="1" t="str">
        <f t="array" ref="H241">XLOOKUP(C241,customers!$A$1:$A$1001,customers!$F$1:$F$1001,0)</f>
        <v>Cheyenne</v>
      </c>
    </row>
    <row r="242" ht="15.75" customHeight="1">
      <c r="A242" s="1" t="s">
        <v>508</v>
      </c>
      <c r="B242" s="2">
        <v>43993.0</v>
      </c>
      <c r="C242" s="1" t="s">
        <v>509</v>
      </c>
      <c r="D242" s="3" t="s">
        <v>184</v>
      </c>
      <c r="E242" s="1">
        <v>6.0</v>
      </c>
      <c r="F242" s="1" t="str">
        <f t="array" ref="F242">XLOOKUP(C242,customers!A241:A1241, customers!B241:B1241,0)</f>
        <v>Codi Littrell</v>
      </c>
      <c r="G242" s="1" t="str">
        <f t="array" ref="G242">IF(XLOOKUP(C243,customers!$A$1:$A$1001,customers!$C$1:$C$1001,0)=0,"",XLOOKUP(C243,customers!$A$1:$A$1001,customers!$C$1:$C$1001,0))</f>
        <v/>
      </c>
      <c r="H242" s="1" t="str">
        <f t="array" ref="H242">XLOOKUP(C242,customers!$A$1:$A$1001,customers!$F$1:$F$1001,0)</f>
        <v>Atlanta</v>
      </c>
    </row>
    <row r="243" ht="15.75" customHeight="1">
      <c r="A243" s="1" t="s">
        <v>510</v>
      </c>
      <c r="B243" s="2">
        <v>44082.0</v>
      </c>
      <c r="C243" s="1" t="s">
        <v>511</v>
      </c>
      <c r="D243" s="3" t="s">
        <v>54</v>
      </c>
      <c r="E243" s="1">
        <v>2.0</v>
      </c>
      <c r="F243" s="1" t="str">
        <f t="array" ref="F243">XLOOKUP(C243,customers!A242:A1242, customers!B242:B1242,0)</f>
        <v>Christel Speak</v>
      </c>
      <c r="G243" s="1" t="str">
        <f t="array" ref="G243">IF(XLOOKUP(C244,customers!$A$1:$A$1001,customers!$C$1:$C$1001,0)=0,"",XLOOKUP(C244,customers!$A$1:$A$1001,customers!$C$1:$C$1001,0))</f>
        <v>srushbrooke6q@youku.com</v>
      </c>
      <c r="H243" s="1" t="str">
        <f t="array" ref="H243">XLOOKUP(C243,customers!$A$1:$A$1001,customers!$F$1:$F$1001,0)</f>
        <v>Duluth</v>
      </c>
    </row>
    <row r="244" ht="15.75" customHeight="1">
      <c r="A244" s="1" t="s">
        <v>512</v>
      </c>
      <c r="B244" s="2">
        <v>43918.0</v>
      </c>
      <c r="C244" s="1" t="s">
        <v>513</v>
      </c>
      <c r="D244" s="3" t="s">
        <v>258</v>
      </c>
      <c r="E244" s="1">
        <v>3.0</v>
      </c>
      <c r="F244" s="1" t="str">
        <f t="array" ref="F244">XLOOKUP(C244,customers!A243:A1243, customers!B243:B1243,0)</f>
        <v>Sibella Rushbrooke</v>
      </c>
      <c r="G244" s="1" t="str">
        <f t="array" ref="G244">IF(XLOOKUP(C245,customers!$A$1:$A$1001,customers!$C$1:$C$1001,0)=0,"",XLOOKUP(C245,customers!$A$1:$A$1001,customers!$C$1:$C$1001,0))</f>
        <v>tdrynan6r@deviantart.com</v>
      </c>
      <c r="H244" s="1" t="str">
        <f t="array" ref="H244">XLOOKUP(C244,customers!$A$1:$A$1001,customers!$F$1:$F$1001,0)</f>
        <v>Sacramento</v>
      </c>
    </row>
    <row r="245" ht="15.75" customHeight="1">
      <c r="A245" s="1" t="s">
        <v>514</v>
      </c>
      <c r="B245" s="2">
        <v>44114.0</v>
      </c>
      <c r="C245" s="1" t="s">
        <v>515</v>
      </c>
      <c r="D245" s="3" t="s">
        <v>29</v>
      </c>
      <c r="E245" s="1">
        <v>4.0</v>
      </c>
      <c r="F245" s="1" t="str">
        <f t="array" ref="F245">XLOOKUP(C245,customers!A244:A1244, customers!B244:B1244,0)</f>
        <v>Tammie Drynan</v>
      </c>
      <c r="G245" s="1" t="str">
        <f t="array" ref="G245">IF(XLOOKUP(C246,customers!$A$1:$A$1001,customers!$C$1:$C$1001,0)=0,"",XLOOKUP(C246,customers!$A$1:$A$1001,customers!$C$1:$C$1001,0))</f>
        <v>eyurkov6s@hud.gov</v>
      </c>
      <c r="H245" s="1" t="str">
        <f t="array" ref="H245">XLOOKUP(C245,customers!$A$1:$A$1001,customers!$F$1:$F$1001,0)</f>
        <v>Tampa</v>
      </c>
    </row>
    <row r="246" ht="15.75" customHeight="1">
      <c r="A246" s="1" t="s">
        <v>516</v>
      </c>
      <c r="B246" s="2">
        <v>44702.0</v>
      </c>
      <c r="C246" s="1" t="s">
        <v>517</v>
      </c>
      <c r="D246" s="3" t="s">
        <v>210</v>
      </c>
      <c r="E246" s="1">
        <v>4.0</v>
      </c>
      <c r="F246" s="1" t="str">
        <f t="array" ref="F246">XLOOKUP(C246,customers!A245:A1245, customers!B245:B1245,0)</f>
        <v>Effie Yurkov</v>
      </c>
      <c r="G246" s="1" t="str">
        <f t="array" ref="G246">IF(XLOOKUP(C247,customers!$A$1:$A$1001,customers!$C$1:$C$1001,0)=0,"",XLOOKUP(C247,customers!$A$1:$A$1001,customers!$C$1:$C$1001,0))</f>
        <v>lmallan6t@state.gov</v>
      </c>
      <c r="H246" s="1" t="str">
        <f t="array" ref="H246">XLOOKUP(C246,customers!$A$1:$A$1001,customers!$F$1:$F$1001,0)</f>
        <v>Honolulu</v>
      </c>
    </row>
    <row r="247" ht="15.75" customHeight="1">
      <c r="A247" s="1" t="s">
        <v>518</v>
      </c>
      <c r="B247" s="2">
        <v>43951.0</v>
      </c>
      <c r="C247" s="1" t="s">
        <v>519</v>
      </c>
      <c r="D247" s="3" t="s">
        <v>32</v>
      </c>
      <c r="E247" s="1">
        <v>5.0</v>
      </c>
      <c r="F247" s="1" t="str">
        <f t="array" ref="F247">XLOOKUP(C247,customers!A246:A1246, customers!B246:B1246,0)</f>
        <v>Lexie Mallan</v>
      </c>
      <c r="G247" s="1" t="str">
        <f t="array" ref="G247">IF(XLOOKUP(C248,customers!$A$1:$A$1001,customers!$C$1:$C$1001,0)=0,"",XLOOKUP(C248,customers!$A$1:$A$1001,customers!$C$1:$C$1001,0))</f>
        <v>gbentjens6u@netlog.com</v>
      </c>
      <c r="H247" s="1" t="str">
        <f t="array" ref="H247">XLOOKUP(C247,customers!$A$1:$A$1001,customers!$F$1:$F$1001,0)</f>
        <v>Baton Rouge</v>
      </c>
    </row>
    <row r="248" ht="15.75" customHeight="1">
      <c r="A248" s="1" t="s">
        <v>520</v>
      </c>
      <c r="B248" s="2">
        <v>44542.0</v>
      </c>
      <c r="C248" s="1" t="s">
        <v>521</v>
      </c>
      <c r="D248" s="3" t="s">
        <v>26</v>
      </c>
      <c r="E248" s="1">
        <v>3.0</v>
      </c>
      <c r="F248" s="1" t="str">
        <f t="array" ref="F248">XLOOKUP(C248,customers!A247:A1247, customers!B247:B1247,0)</f>
        <v>Georgena Bentjens</v>
      </c>
      <c r="G248" s="1" t="str">
        <f t="array" ref="G248">IF(XLOOKUP(C249,customers!$A$1:$A$1001,customers!$C$1:$C$1001,0)=0,"",XLOOKUP(C249,customers!$A$1:$A$1001,customers!$C$1:$C$1001,0))</f>
        <v/>
      </c>
      <c r="H248" s="1" t="str">
        <f t="array" ref="H248">XLOOKUP(C248,customers!$A$1:$A$1001,customers!$F$1:$F$1001,0)</f>
        <v>Newbiggin</v>
      </c>
    </row>
    <row r="249" ht="15.75" customHeight="1">
      <c r="A249" s="1" t="s">
        <v>522</v>
      </c>
      <c r="B249" s="2">
        <v>44131.0</v>
      </c>
      <c r="C249" s="1" t="s">
        <v>523</v>
      </c>
      <c r="D249" s="3" t="s">
        <v>195</v>
      </c>
      <c r="E249" s="1">
        <v>6.0</v>
      </c>
      <c r="F249" s="1" t="str">
        <f t="array" ref="F249">XLOOKUP(C249,customers!A248:A1248, customers!B248:B1248,0)</f>
        <v>Delmar Beasant</v>
      </c>
      <c r="G249" s="1" t="str">
        <f t="array" ref="G249">IF(XLOOKUP(C250,customers!$A$1:$A$1001,customers!$C$1:$C$1001,0)=0,"",XLOOKUP(C250,customers!$A$1:$A$1001,customers!$C$1:$C$1001,0))</f>
        <v>lentwistle6w@omniture.com</v>
      </c>
      <c r="H249" s="1" t="str">
        <f t="array" ref="H249">XLOOKUP(C249,customers!$A$1:$A$1001,customers!$F$1:$F$1001,0)</f>
        <v>Kilkenny</v>
      </c>
    </row>
    <row r="250" ht="15.75" customHeight="1">
      <c r="A250" s="1" t="s">
        <v>524</v>
      </c>
      <c r="B250" s="2">
        <v>44019.0</v>
      </c>
      <c r="C250" s="1" t="s">
        <v>525</v>
      </c>
      <c r="D250" s="3" t="s">
        <v>40</v>
      </c>
      <c r="E250" s="1">
        <v>1.0</v>
      </c>
      <c r="F250" s="1" t="str">
        <f t="array" ref="F250">XLOOKUP(C250,customers!A249:A1249, customers!B249:B1249,0)</f>
        <v>Lyn Entwistle</v>
      </c>
      <c r="G250" s="1" t="str">
        <f t="array" ref="G250">IF(XLOOKUP(C251,customers!$A$1:$A$1001,customers!$C$1:$C$1001,0)=0,"",XLOOKUP(C251,customers!$A$1:$A$1001,customers!$C$1:$C$1001,0))</f>
        <v>zkiffe74@cyberchimps.com</v>
      </c>
      <c r="H250" s="1" t="str">
        <f t="array" ref="H250">XLOOKUP(C250,customers!$A$1:$A$1001,customers!$F$1:$F$1001,0)</f>
        <v>Minneapolis</v>
      </c>
    </row>
    <row r="251" ht="15.75" customHeight="1">
      <c r="A251" s="1" t="s">
        <v>526</v>
      </c>
      <c r="B251" s="2">
        <v>43861.0</v>
      </c>
      <c r="C251" s="1" t="s">
        <v>527</v>
      </c>
      <c r="D251" s="3" t="s">
        <v>145</v>
      </c>
      <c r="E251" s="1">
        <v>1.0</v>
      </c>
      <c r="F251" s="1" t="str">
        <f t="array" ref="F251">XLOOKUP(C251,customers!A250:A1250, customers!B250:B1250,0)</f>
        <v>Zacharias Kiffe</v>
      </c>
      <c r="G251" s="1" t="str">
        <f t="array" ref="G251">IF(XLOOKUP(C252,customers!$A$1:$A$1001,customers!$C$1:$C$1001,0)=0,"",XLOOKUP(C252,customers!$A$1:$A$1001,customers!$C$1:$C$1001,0))</f>
        <v>macott6y@pagesperso-orange.fr</v>
      </c>
      <c r="H251" s="1" t="str">
        <f t="array" ref="H251">XLOOKUP(C251,customers!$A$1:$A$1001,customers!$F$1:$F$1001,0)</f>
        <v>Milwaukee</v>
      </c>
    </row>
    <row r="252" ht="15.75" customHeight="1">
      <c r="A252" s="1" t="s">
        <v>528</v>
      </c>
      <c r="B252" s="2">
        <v>43879.0</v>
      </c>
      <c r="C252" s="1" t="s">
        <v>529</v>
      </c>
      <c r="D252" s="3" t="s">
        <v>175</v>
      </c>
      <c r="E252" s="1">
        <v>1.0</v>
      </c>
      <c r="F252" s="1" t="str">
        <f t="array" ref="F252">XLOOKUP(C252,customers!A251:A1251, customers!B251:B1251,0)</f>
        <v>Mercedes Acott</v>
      </c>
      <c r="G252" s="1" t="str">
        <f t="array" ref="G252">IF(XLOOKUP(C253,customers!$A$1:$A$1001,customers!$C$1:$C$1001,0)=0,"",XLOOKUP(C253,customers!$A$1:$A$1001,customers!$C$1:$C$1001,0))</f>
        <v>cheaviside6z@rediff.com</v>
      </c>
      <c r="H252" s="1" t="str">
        <f t="array" ref="H252">XLOOKUP(C252,customers!$A$1:$A$1001,customers!$F$1:$F$1001,0)</f>
        <v>Charlotte</v>
      </c>
    </row>
    <row r="253" ht="15.75" customHeight="1">
      <c r="A253" s="1" t="s">
        <v>530</v>
      </c>
      <c r="B253" s="2">
        <v>44360.0</v>
      </c>
      <c r="C253" s="1" t="s">
        <v>531</v>
      </c>
      <c r="D253" s="3" t="s">
        <v>22</v>
      </c>
      <c r="E253" s="1">
        <v>5.0</v>
      </c>
      <c r="F253" s="1" t="str">
        <f t="array" ref="F253">XLOOKUP(C253,customers!A252:A1252, customers!B252:B1252,0)</f>
        <v>Connor Heaviside</v>
      </c>
      <c r="G253" s="1" t="str">
        <f t="array" ref="G253">IF(XLOOKUP(C254,customers!$A$1:$A$1001,customers!$C$1:$C$1001,0)=0,"",XLOOKUP(C254,customers!$A$1:$A$1001,customers!$C$1:$C$1001,0))</f>
        <v/>
      </c>
      <c r="H253" s="1" t="str">
        <f t="array" ref="H253">XLOOKUP(C253,customers!$A$1:$A$1001,customers!$F$1:$F$1001,0)</f>
        <v>Phoenix</v>
      </c>
    </row>
    <row r="254" ht="15.75" customHeight="1">
      <c r="A254" s="1" t="s">
        <v>532</v>
      </c>
      <c r="B254" s="2">
        <v>44779.0</v>
      </c>
      <c r="C254" s="1" t="s">
        <v>533</v>
      </c>
      <c r="D254" s="3" t="s">
        <v>40</v>
      </c>
      <c r="E254" s="1">
        <v>3.0</v>
      </c>
      <c r="F254" s="1" t="str">
        <f t="array" ref="F254">XLOOKUP(C254,customers!A253:A1253, customers!B253:B1253,0)</f>
        <v>Devy Bulbrook</v>
      </c>
      <c r="G254" s="1" t="str">
        <f t="array" ref="G254">IF(XLOOKUP(C255,customers!$A$1:$A$1001,customers!$C$1:$C$1001,0)=0,"",XLOOKUP(C255,customers!$A$1:$A$1001,customers!$C$1:$C$1001,0))</f>
        <v>lkernan71@wsj.com</v>
      </c>
      <c r="H254" s="1" t="str">
        <f t="array" ref="H254">XLOOKUP(C254,customers!$A$1:$A$1001,customers!$F$1:$F$1001,0)</f>
        <v>Jamaica</v>
      </c>
    </row>
    <row r="255" ht="15.75" customHeight="1">
      <c r="A255" s="1" t="s">
        <v>534</v>
      </c>
      <c r="B255" s="2">
        <v>44523.0</v>
      </c>
      <c r="C255" s="1" t="s">
        <v>535</v>
      </c>
      <c r="D255" s="3" t="s">
        <v>109</v>
      </c>
      <c r="E255" s="1">
        <v>4.0</v>
      </c>
      <c r="F255" s="1" t="str">
        <f t="array" ref="F255">XLOOKUP(C255,customers!A254:A1254, customers!B254:B1254,0)</f>
        <v>Leia Kernan</v>
      </c>
      <c r="G255" s="1" t="str">
        <f t="array" ref="G255">IF(XLOOKUP(C256,customers!$A$1:$A$1001,customers!$C$1:$C$1001,0)=0,"",XLOOKUP(C256,customers!$A$1:$A$1001,customers!$C$1:$C$1001,0))</f>
        <v>rmclae72@dailymotion.com</v>
      </c>
      <c r="H255" s="1" t="str">
        <f t="array" ref="H255">XLOOKUP(C255,customers!$A$1:$A$1001,customers!$F$1:$F$1001,0)</f>
        <v>Champaign</v>
      </c>
    </row>
    <row r="256" ht="15.75" customHeight="1">
      <c r="A256" s="1" t="s">
        <v>536</v>
      </c>
      <c r="B256" s="2">
        <v>44482.0</v>
      </c>
      <c r="C256" s="1" t="s">
        <v>537</v>
      </c>
      <c r="D256" s="3" t="s">
        <v>170</v>
      </c>
      <c r="E256" s="1">
        <v>4.0</v>
      </c>
      <c r="F256" s="1" t="str">
        <f t="array" ref="F256">XLOOKUP(C256,customers!A255:A1255, customers!B255:B1255,0)</f>
        <v>Rosaline McLae</v>
      </c>
      <c r="G256" s="1" t="str">
        <f t="array" ref="G256">IF(XLOOKUP(C257,customers!$A$1:$A$1001,customers!$C$1:$C$1001,0)=0,"",XLOOKUP(C257,customers!$A$1:$A$1001,customers!$C$1:$C$1001,0))</f>
        <v>cblowfelde73@ustream.tv</v>
      </c>
      <c r="H256" s="1" t="str">
        <f t="array" ref="H256">XLOOKUP(C256,customers!$A$1:$A$1001,customers!$F$1:$F$1001,0)</f>
        <v>Swindon</v>
      </c>
    </row>
    <row r="257" ht="15.75" customHeight="1">
      <c r="A257" s="1" t="s">
        <v>538</v>
      </c>
      <c r="B257" s="2">
        <v>44439.0</v>
      </c>
      <c r="C257" s="1" t="s">
        <v>539</v>
      </c>
      <c r="D257" s="3" t="s">
        <v>170</v>
      </c>
      <c r="E257" s="1">
        <v>3.0</v>
      </c>
      <c r="F257" s="1" t="str">
        <f t="array" ref="F257">XLOOKUP(C257,customers!A256:A1256, customers!B256:B1256,0)</f>
        <v>Cleve Blowfelde</v>
      </c>
      <c r="G257" s="1" t="str">
        <f t="array" ref="G257">IF(XLOOKUP(C258,customers!$A$1:$A$1001,customers!$C$1:$C$1001,0)=0,"",XLOOKUP(C258,customers!$A$1:$A$1001,customers!$C$1:$C$1001,0))</f>
        <v>zkiffe74@cyberchimps.com</v>
      </c>
      <c r="H257" s="1" t="str">
        <f t="array" ref="H257">XLOOKUP(C257,customers!$A$1:$A$1001,customers!$F$1:$F$1001,0)</f>
        <v>Tucson</v>
      </c>
    </row>
    <row r="258" ht="15.75" customHeight="1">
      <c r="A258" s="1" t="s">
        <v>540</v>
      </c>
      <c r="B258" s="2">
        <v>43846.0</v>
      </c>
      <c r="C258" s="1" t="s">
        <v>527</v>
      </c>
      <c r="D258" s="3" t="s">
        <v>91</v>
      </c>
      <c r="E258" s="1">
        <v>2.0</v>
      </c>
      <c r="F258" s="1" t="str">
        <f t="array" ref="F258">XLOOKUP(C258,customers!A257:A1257, customers!B257:B1257,0)</f>
        <v>Zacharias Kiffe</v>
      </c>
      <c r="G258" s="1" t="str">
        <f t="array" ref="G258">IF(XLOOKUP(C259,customers!$A$1:$A$1001,customers!$C$1:$C$1001,0)=0,"",XLOOKUP(C259,customers!$A$1:$A$1001,customers!$C$1:$C$1001,0))</f>
        <v>docalleran75@ucla.edu</v>
      </c>
      <c r="H258" s="1" t="str">
        <f t="array" ref="H258">XLOOKUP(C258,customers!$A$1:$A$1001,customers!$F$1:$F$1001,0)</f>
        <v>Milwaukee</v>
      </c>
    </row>
    <row r="259" ht="15.75" customHeight="1">
      <c r="A259" s="1" t="s">
        <v>541</v>
      </c>
      <c r="B259" s="2">
        <v>44676.0</v>
      </c>
      <c r="C259" s="1" t="s">
        <v>542</v>
      </c>
      <c r="D259" s="3" t="s">
        <v>543</v>
      </c>
      <c r="E259" s="1">
        <v>1.0</v>
      </c>
      <c r="F259" s="1" t="str">
        <f t="array" ref="F259">XLOOKUP(C259,customers!A258:A1258, customers!B258:B1258,0)</f>
        <v>Denyse O'Calleran</v>
      </c>
      <c r="G259" s="1" t="str">
        <f t="array" ref="G259">IF(XLOOKUP(C260,customers!$A$1:$A$1001,customers!$C$1:$C$1001,0)=0,"",XLOOKUP(C260,customers!$A$1:$A$1001,customers!$C$1:$C$1001,0))</f>
        <v>ccromwell76@desdev.cn</v>
      </c>
      <c r="H259" s="1" t="str">
        <f t="array" ref="H259">XLOOKUP(C259,customers!$A$1:$A$1001,customers!$F$1:$F$1001,0)</f>
        <v>Pompano Beach</v>
      </c>
    </row>
    <row r="260" ht="15.75" customHeight="1">
      <c r="A260" s="1" t="s">
        <v>544</v>
      </c>
      <c r="B260" s="2">
        <v>44513.0</v>
      </c>
      <c r="C260" s="1" t="s">
        <v>545</v>
      </c>
      <c r="D260" s="3" t="s">
        <v>543</v>
      </c>
      <c r="E260" s="1">
        <v>5.0</v>
      </c>
      <c r="F260" s="1" t="str">
        <f t="array" ref="F260">XLOOKUP(C260,customers!A259:A1259, customers!B259:B1259,0)</f>
        <v>Cobby Cromwell</v>
      </c>
      <c r="G260" s="1" t="str">
        <f t="array" ref="G260">IF(XLOOKUP(C261,customers!$A$1:$A$1001,customers!$C$1:$C$1001,0)=0,"",XLOOKUP(C261,customers!$A$1:$A$1001,customers!$C$1:$C$1001,0))</f>
        <v>ihay77@lulu.com</v>
      </c>
      <c r="H260" s="1" t="str">
        <f t="array" ref="H260">XLOOKUP(C260,customers!$A$1:$A$1001,customers!$F$1:$F$1001,0)</f>
        <v>Whittier</v>
      </c>
    </row>
    <row r="261" ht="15.75" customHeight="1">
      <c r="A261" s="1" t="s">
        <v>546</v>
      </c>
      <c r="B261" s="2">
        <v>44355.0</v>
      </c>
      <c r="C261" s="1" t="s">
        <v>547</v>
      </c>
      <c r="D261" s="3" t="s">
        <v>175</v>
      </c>
      <c r="E261" s="1">
        <v>2.0</v>
      </c>
      <c r="F261" s="1" t="str">
        <f t="array" ref="F261">XLOOKUP(C261,customers!A260:A1260, customers!B260:B1260,0)</f>
        <v>Irv Hay</v>
      </c>
      <c r="G261" s="1" t="str">
        <f t="array" ref="G261">IF(XLOOKUP(C262,customers!$A$1:$A$1001,customers!$C$1:$C$1001,0)=0,"",XLOOKUP(C262,customers!$A$1:$A$1001,customers!$C$1:$C$1001,0))</f>
        <v>ttaffarello78@sciencedaily.com</v>
      </c>
      <c r="H261" s="1" t="str">
        <f t="array" ref="H261">XLOOKUP(C261,customers!$A$1:$A$1001,customers!$F$1:$F$1001,0)</f>
        <v>Sheffield</v>
      </c>
    </row>
    <row r="262" ht="15.75" customHeight="1">
      <c r="A262" s="1" t="s">
        <v>548</v>
      </c>
      <c r="B262" s="2">
        <v>44156.0</v>
      </c>
      <c r="C262" s="1" t="s">
        <v>549</v>
      </c>
      <c r="D262" s="3" t="s">
        <v>23</v>
      </c>
      <c r="E262" s="1">
        <v>1.0</v>
      </c>
      <c r="F262" s="1" t="str">
        <f t="array" ref="F262">XLOOKUP(C262,customers!A261:A1261, customers!B261:B1261,0)</f>
        <v>Tani Taffarello</v>
      </c>
      <c r="G262" s="1" t="str">
        <f t="array" ref="G262">IF(XLOOKUP(C263,customers!$A$1:$A$1001,customers!$C$1:$C$1001,0)=0,"",XLOOKUP(C263,customers!$A$1:$A$1001,customers!$C$1:$C$1001,0))</f>
        <v>mcanty79@jigsy.com</v>
      </c>
      <c r="H262" s="1" t="str">
        <f t="array" ref="H262">XLOOKUP(C262,customers!$A$1:$A$1001,customers!$F$1:$F$1001,0)</f>
        <v>Saint Louis</v>
      </c>
    </row>
    <row r="263" ht="15.75" customHeight="1">
      <c r="A263" s="1" t="s">
        <v>550</v>
      </c>
      <c r="B263" s="2">
        <v>43538.0</v>
      </c>
      <c r="C263" s="1" t="s">
        <v>551</v>
      </c>
      <c r="D263" s="3" t="s">
        <v>202</v>
      </c>
      <c r="E263" s="1">
        <v>5.0</v>
      </c>
      <c r="F263" s="1" t="str">
        <f t="array" ref="F263">XLOOKUP(C263,customers!A262:A1262, customers!B262:B1262,0)</f>
        <v>Monique Canty</v>
      </c>
      <c r="G263" s="1" t="str">
        <f t="array" ref="G263">IF(XLOOKUP(C264,customers!$A$1:$A$1001,customers!$C$1:$C$1001,0)=0,"",XLOOKUP(C264,customers!$A$1:$A$1001,customers!$C$1:$C$1001,0))</f>
        <v>jkopke7a@auda.org.au</v>
      </c>
      <c r="H263" s="1" t="str">
        <f t="array" ref="H263">XLOOKUP(C263,customers!$A$1:$A$1001,customers!$F$1:$F$1001,0)</f>
        <v>Erie</v>
      </c>
    </row>
    <row r="264" ht="15.75" customHeight="1">
      <c r="A264" s="1" t="s">
        <v>552</v>
      </c>
      <c r="B264" s="2">
        <v>43693.0</v>
      </c>
      <c r="C264" s="1" t="s">
        <v>553</v>
      </c>
      <c r="D264" s="3" t="s">
        <v>22</v>
      </c>
      <c r="E264" s="1">
        <v>3.0</v>
      </c>
      <c r="F264" s="1" t="str">
        <f t="array" ref="F264">XLOOKUP(C264,customers!A263:A1263, customers!B263:B1263,0)</f>
        <v>Javier Kopke</v>
      </c>
      <c r="G264" s="1" t="str">
        <f t="array" ref="G264">IF(XLOOKUP(C265,customers!$A$1:$A$1001,customers!$C$1:$C$1001,0)=0,"",XLOOKUP(C265,customers!$A$1:$A$1001,customers!$C$1:$C$1001,0))</f>
        <v/>
      </c>
      <c r="H264" s="1" t="str">
        <f t="array" ref="H264">XLOOKUP(C264,customers!$A$1:$A$1001,customers!$F$1:$F$1001,0)</f>
        <v>Tacoma</v>
      </c>
    </row>
    <row r="265" ht="15.75" customHeight="1">
      <c r="A265" s="1" t="s">
        <v>554</v>
      </c>
      <c r="B265" s="2">
        <v>43577.0</v>
      </c>
      <c r="C265" s="1" t="s">
        <v>555</v>
      </c>
      <c r="D265" s="3" t="s">
        <v>210</v>
      </c>
      <c r="E265" s="1">
        <v>4.0</v>
      </c>
      <c r="F265" s="1" t="str">
        <f t="array" ref="F265">XLOOKUP(C265,customers!A264:A1264, customers!B264:B1264,0)</f>
        <v>Mar McIver</v>
      </c>
      <c r="G265" s="1" t="str">
        <f t="array" ref="G265">IF(XLOOKUP(C266,customers!$A$1:$A$1001,customers!$C$1:$C$1001,0)=0,"",XLOOKUP(C266,customers!$A$1:$A$1001,customers!$C$1:$C$1001,0))</f>
        <v/>
      </c>
      <c r="H265" s="1" t="str">
        <f t="array" ref="H265">XLOOKUP(C265,customers!$A$1:$A$1001,customers!$F$1:$F$1001,0)</f>
        <v>Richmond</v>
      </c>
    </row>
    <row r="266" ht="15.75" customHeight="1">
      <c r="A266" s="1" t="s">
        <v>556</v>
      </c>
      <c r="B266" s="2">
        <v>44683.0</v>
      </c>
      <c r="C266" s="1" t="s">
        <v>557</v>
      </c>
      <c r="D266" s="3" t="s">
        <v>202</v>
      </c>
      <c r="E266" s="1">
        <v>5.0</v>
      </c>
      <c r="F266" s="1" t="str">
        <f t="array" ref="F266">XLOOKUP(C266,customers!A265:A1265, customers!B265:B1265,0)</f>
        <v>Arabella Fransewich</v>
      </c>
      <c r="G266" s="1" t="str">
        <f t="array" ref="G266">IF(XLOOKUP(C267,customers!$A$1:$A$1001,customers!$C$1:$C$1001,0)=0,"",XLOOKUP(C267,customers!$A$1:$A$1001,customers!$C$1:$C$1001,0))</f>
        <v>vhellmore7d@bbc.co.uk</v>
      </c>
      <c r="H266" s="1" t="str">
        <f t="array" ref="H266">XLOOKUP(C266,customers!$A$1:$A$1001,customers!$F$1:$F$1001,0)</f>
        <v>Kinsealy-Drinan</v>
      </c>
    </row>
    <row r="267" ht="15.75" customHeight="1">
      <c r="A267" s="1" t="s">
        <v>558</v>
      </c>
      <c r="B267" s="2">
        <v>43872.0</v>
      </c>
      <c r="C267" s="1" t="s">
        <v>559</v>
      </c>
      <c r="D267" s="3" t="s">
        <v>85</v>
      </c>
      <c r="E267" s="1">
        <v>1.0</v>
      </c>
      <c r="F267" s="1" t="str">
        <f t="array" ref="F267">XLOOKUP(C267,customers!A266:A1266, customers!B266:B1266,0)</f>
        <v>Violette Hellmore</v>
      </c>
      <c r="G267" s="1" t="str">
        <f t="array" ref="G267">IF(XLOOKUP(C268,customers!$A$1:$A$1001,customers!$C$1:$C$1001,0)=0,"",XLOOKUP(C268,customers!$A$1:$A$1001,customers!$C$1:$C$1001,0))</f>
        <v>mseawright7e@nbcnews.com</v>
      </c>
      <c r="H267" s="1" t="str">
        <f t="array" ref="H267">XLOOKUP(C267,customers!$A$1:$A$1001,customers!$F$1:$F$1001,0)</f>
        <v>Little Rock</v>
      </c>
    </row>
    <row r="268" ht="15.75" customHeight="1">
      <c r="A268" s="1" t="s">
        <v>560</v>
      </c>
      <c r="B268" s="2">
        <v>44283.0</v>
      </c>
      <c r="C268" s="1" t="s">
        <v>561</v>
      </c>
      <c r="D268" s="3" t="s">
        <v>258</v>
      </c>
      <c r="E268" s="1">
        <v>2.0</v>
      </c>
      <c r="F268" s="1" t="str">
        <f t="array" ref="F268">XLOOKUP(C268,customers!A267:A1267, customers!B267:B1267,0)</f>
        <v>Myles Seawright</v>
      </c>
      <c r="G268" s="1" t="str">
        <f t="array" ref="G268">IF(XLOOKUP(C269,customers!$A$1:$A$1001,customers!$C$1:$C$1001,0)=0,"",XLOOKUP(C269,customers!$A$1:$A$1001,customers!$C$1:$C$1001,0))</f>
        <v>snortheast7f@mashable.com</v>
      </c>
      <c r="H268" s="1" t="str">
        <f t="array" ref="H268">XLOOKUP(C268,customers!$A$1:$A$1001,customers!$F$1:$F$1001,0)</f>
        <v>Newton</v>
      </c>
    </row>
    <row r="269" ht="15.75" customHeight="1">
      <c r="A269" s="1" t="s">
        <v>562</v>
      </c>
      <c r="B269" s="2">
        <v>44324.0</v>
      </c>
      <c r="C269" s="1" t="s">
        <v>563</v>
      </c>
      <c r="D269" s="3" t="s">
        <v>64</v>
      </c>
      <c r="E269" s="1">
        <v>6.0</v>
      </c>
      <c r="F269" s="1" t="str">
        <f t="array" ref="F269">XLOOKUP(C269,customers!A268:A1268, customers!B268:B1268,0)</f>
        <v>Silvana Northeast</v>
      </c>
      <c r="G269" s="1" t="str">
        <f t="array" ref="G269">IF(XLOOKUP(C270,customers!$A$1:$A$1001,customers!$C$1:$C$1001,0)=0,"",XLOOKUP(C270,customers!$A$1:$A$1001,customers!$C$1:$C$1001,0))</f>
        <v>aattwater5u@wikia.com</v>
      </c>
      <c r="H269" s="1" t="str">
        <f t="array" ref="H269">XLOOKUP(C269,customers!$A$1:$A$1001,customers!$F$1:$F$1001,0)</f>
        <v>Sparks</v>
      </c>
    </row>
    <row r="270" ht="15.75" customHeight="1">
      <c r="A270" s="1" t="s">
        <v>564</v>
      </c>
      <c r="B270" s="2">
        <v>43790.0</v>
      </c>
      <c r="C270" s="1" t="s">
        <v>451</v>
      </c>
      <c r="D270" s="3" t="s">
        <v>40</v>
      </c>
      <c r="E270" s="1">
        <v>2.0</v>
      </c>
      <c r="F270" s="1">
        <f t="array" ref="F270">XLOOKUP(C270,customers!A269:A1269, customers!B269:B1269,0)</f>
        <v>0</v>
      </c>
      <c r="G270" s="1" t="str">
        <f t="array" ref="G270">IF(XLOOKUP(C271,customers!$A$1:$A$1001,customers!$C$1:$C$1001,0)=0,"",XLOOKUP(C271,customers!$A$1:$A$1001,customers!$C$1:$C$1001,0))</f>
        <v>mfearon7h@reverbnation.com</v>
      </c>
      <c r="H270" s="1" t="str">
        <f t="array" ref="H270">XLOOKUP(C270,customers!$A$1:$A$1001,customers!$F$1:$F$1001,0)</f>
        <v>Charlottesville</v>
      </c>
    </row>
    <row r="271" ht="15.75" customHeight="1">
      <c r="A271" s="1" t="s">
        <v>565</v>
      </c>
      <c r="B271" s="2">
        <v>44333.0</v>
      </c>
      <c r="C271" s="1" t="s">
        <v>566</v>
      </c>
      <c r="D271" s="3" t="s">
        <v>67</v>
      </c>
      <c r="E271" s="1">
        <v>2.0</v>
      </c>
      <c r="F271" s="1" t="str">
        <f t="array" ref="F271">XLOOKUP(C271,customers!A270:A1270, customers!B270:B1270,0)</f>
        <v>Monica Fearon</v>
      </c>
      <c r="G271" s="1" t="str">
        <f t="array" ref="G271">IF(XLOOKUP(C272,customers!$A$1:$A$1001,customers!$C$1:$C$1001,0)=0,"",XLOOKUP(C272,customers!$A$1:$A$1001,customers!$C$1:$C$1001,0))</f>
        <v/>
      </c>
      <c r="H271" s="1" t="str">
        <f t="array" ref="H271">XLOOKUP(C271,customers!$A$1:$A$1001,customers!$F$1:$F$1001,0)</f>
        <v>Denton</v>
      </c>
    </row>
    <row r="272" ht="15.75" customHeight="1">
      <c r="A272" s="1" t="s">
        <v>567</v>
      </c>
      <c r="B272" s="2">
        <v>43655.0</v>
      </c>
      <c r="C272" s="1" t="s">
        <v>568</v>
      </c>
      <c r="D272" s="3" t="s">
        <v>29</v>
      </c>
      <c r="E272" s="1">
        <v>1.0</v>
      </c>
      <c r="F272" s="1" t="str">
        <f t="array" ref="F272">XLOOKUP(C272,customers!A271:A1271, customers!B271:B1271,0)</f>
        <v>Barney Chisnell</v>
      </c>
      <c r="G272" s="1" t="str">
        <f t="array" ref="G272">IF(XLOOKUP(C273,customers!$A$1:$A$1001,customers!$C$1:$C$1001,0)=0,"",XLOOKUP(C273,customers!$A$1:$A$1001,customers!$C$1:$C$1001,0))</f>
        <v>jsisneros7j@a8.net</v>
      </c>
      <c r="H272" s="1" t="str">
        <f t="array" ref="H272">XLOOKUP(C272,customers!$A$1:$A$1001,customers!$F$1:$F$1001,0)</f>
        <v>Tullamore</v>
      </c>
    </row>
    <row r="273" ht="15.75" customHeight="1">
      <c r="A273" s="1" t="s">
        <v>569</v>
      </c>
      <c r="B273" s="2">
        <v>43971.0</v>
      </c>
      <c r="C273" s="1" t="s">
        <v>570</v>
      </c>
      <c r="D273" s="3" t="s">
        <v>67</v>
      </c>
      <c r="E273" s="1">
        <v>4.0</v>
      </c>
      <c r="F273" s="1" t="str">
        <f t="array" ref="F273">XLOOKUP(C273,customers!A272:A1272, customers!B272:B1272,0)</f>
        <v>Jasper Sisneros</v>
      </c>
      <c r="G273" s="1" t="str">
        <f t="array" ref="G273">IF(XLOOKUP(C274,customers!$A$1:$A$1001,customers!$C$1:$C$1001,0)=0,"",XLOOKUP(C274,customers!$A$1:$A$1001,customers!$C$1:$C$1001,0))</f>
        <v>zcarlson7k@bigcartel.com</v>
      </c>
      <c r="H273" s="1" t="str">
        <f t="array" ref="H273">XLOOKUP(C273,customers!$A$1:$A$1001,customers!$F$1:$F$1001,0)</f>
        <v>Raleigh</v>
      </c>
    </row>
    <row r="274" ht="15.75" customHeight="1">
      <c r="A274" s="1" t="s">
        <v>571</v>
      </c>
      <c r="B274" s="2">
        <v>44435.0</v>
      </c>
      <c r="C274" s="1" t="s">
        <v>572</v>
      </c>
      <c r="D274" s="3" t="s">
        <v>202</v>
      </c>
      <c r="E274" s="1">
        <v>6.0</v>
      </c>
      <c r="F274" s="1" t="str">
        <f t="array" ref="F274">XLOOKUP(C274,customers!A273:A1273, customers!B273:B1273,0)</f>
        <v>Zachariah Carlson</v>
      </c>
      <c r="G274" s="1" t="str">
        <f t="array" ref="G274">IF(XLOOKUP(C275,customers!$A$1:$A$1001,customers!$C$1:$C$1001,0)=0,"",XLOOKUP(C275,customers!$A$1:$A$1001,customers!$C$1:$C$1001,0))</f>
        <v>wmaddox7l@timesonline.co.uk</v>
      </c>
      <c r="H274" s="1" t="str">
        <f t="array" ref="H274">XLOOKUP(C274,customers!$A$1:$A$1001,customers!$F$1:$F$1001,0)</f>
        <v>Shankill</v>
      </c>
    </row>
    <row r="275" ht="15.75" customHeight="1">
      <c r="A275" s="1" t="s">
        <v>573</v>
      </c>
      <c r="B275" s="2">
        <v>44681.0</v>
      </c>
      <c r="C275" s="1" t="s">
        <v>574</v>
      </c>
      <c r="D275" s="3" t="s">
        <v>128</v>
      </c>
      <c r="E275" s="1">
        <v>2.0</v>
      </c>
      <c r="F275" s="1" t="str">
        <f t="array" ref="F275">XLOOKUP(C275,customers!A274:A1274, customers!B274:B1274,0)</f>
        <v>Warner Maddox</v>
      </c>
      <c r="G275" s="1" t="str">
        <f t="array" ref="G275">IF(XLOOKUP(C276,customers!$A$1:$A$1001,customers!$C$1:$C$1001,0)=0,"",XLOOKUP(C276,customers!$A$1:$A$1001,customers!$C$1:$C$1001,0))</f>
        <v>dhedlestone7m@craigslist.org</v>
      </c>
      <c r="H275" s="1" t="str">
        <f t="array" ref="H275">XLOOKUP(C275,customers!$A$1:$A$1001,customers!$F$1:$F$1001,0)</f>
        <v>New York City</v>
      </c>
    </row>
    <row r="276" ht="15.75" customHeight="1">
      <c r="A276" s="1" t="s">
        <v>575</v>
      </c>
      <c r="B276" s="2">
        <v>43985.0</v>
      </c>
      <c r="C276" s="1" t="s">
        <v>576</v>
      </c>
      <c r="D276" s="3" t="s">
        <v>184</v>
      </c>
      <c r="E276" s="1">
        <v>1.0</v>
      </c>
      <c r="F276" s="1" t="str">
        <f t="array" ref="F276">XLOOKUP(C276,customers!A275:A1275, customers!B275:B1275,0)</f>
        <v>Donnie Hedlestone</v>
      </c>
      <c r="G276" s="1" t="str">
        <f t="array" ref="G276">IF(XLOOKUP(C277,customers!$A$1:$A$1001,customers!$C$1:$C$1001,0)=0,"",XLOOKUP(C277,customers!$A$1:$A$1001,customers!$C$1:$C$1001,0))</f>
        <v>tcrowthe7n@europa.eu</v>
      </c>
      <c r="H276" s="1" t="str">
        <f t="array" ref="H276">XLOOKUP(C276,customers!$A$1:$A$1001,customers!$F$1:$F$1001,0)</f>
        <v>Stamford</v>
      </c>
    </row>
    <row r="277" ht="15.75" customHeight="1">
      <c r="A277" s="1" t="s">
        <v>577</v>
      </c>
      <c r="B277" s="2">
        <v>44725.0</v>
      </c>
      <c r="C277" s="1" t="s">
        <v>578</v>
      </c>
      <c r="D277" s="3" t="s">
        <v>43</v>
      </c>
      <c r="E277" s="1">
        <v>6.0</v>
      </c>
      <c r="F277" s="1" t="str">
        <f t="array" ref="F277">XLOOKUP(C277,customers!A276:A1276, customers!B276:B1276,0)</f>
        <v>Teddi Crowthe</v>
      </c>
      <c r="G277" s="1" t="str">
        <f t="array" ref="G277">IF(XLOOKUP(C278,customers!$A$1:$A$1001,customers!$C$1:$C$1001,0)=0,"",XLOOKUP(C278,customers!$A$1:$A$1001,customers!$C$1:$C$1001,0))</f>
        <v>dbury7o@tinyurl.com</v>
      </c>
      <c r="H277" s="1" t="str">
        <f t="array" ref="H277">XLOOKUP(C277,customers!$A$1:$A$1001,customers!$F$1:$F$1001,0)</f>
        <v>Toledo</v>
      </c>
    </row>
    <row r="278" ht="15.75" customHeight="1">
      <c r="A278" s="1" t="s">
        <v>579</v>
      </c>
      <c r="B278" s="2">
        <v>43992.0</v>
      </c>
      <c r="C278" s="1" t="s">
        <v>580</v>
      </c>
      <c r="D278" s="3" t="s">
        <v>23</v>
      </c>
      <c r="E278" s="1">
        <v>4.0</v>
      </c>
      <c r="F278" s="1" t="str">
        <f t="array" ref="F278">XLOOKUP(C278,customers!A277:A1277, customers!B277:B1277,0)</f>
        <v>Dorelia Bury</v>
      </c>
      <c r="G278" s="1" t="str">
        <f t="array" ref="G278">IF(XLOOKUP(C279,customers!$A$1:$A$1001,customers!$C$1:$C$1001,0)=0,"",XLOOKUP(C279,customers!$A$1:$A$1001,customers!$C$1:$C$1001,0))</f>
        <v>gbroadbear7p@omniture.com</v>
      </c>
      <c r="H278" s="1" t="str">
        <f t="array" ref="H278">XLOOKUP(C278,customers!$A$1:$A$1001,customers!$F$1:$F$1001,0)</f>
        <v>Castleblayney</v>
      </c>
    </row>
    <row r="279" ht="15.75" customHeight="1">
      <c r="A279" s="1" t="s">
        <v>581</v>
      </c>
      <c r="B279" s="2">
        <v>44183.0</v>
      </c>
      <c r="C279" s="1" t="s">
        <v>582</v>
      </c>
      <c r="D279" s="3" t="s">
        <v>150</v>
      </c>
      <c r="E279" s="1">
        <v>6.0</v>
      </c>
      <c r="F279" s="1" t="str">
        <f t="array" ref="F279">XLOOKUP(C279,customers!A278:A1278, customers!B278:B1278,0)</f>
        <v>Gussy Broadbear</v>
      </c>
      <c r="G279" s="1" t="str">
        <f t="array" ref="G279">IF(XLOOKUP(C280,customers!$A$1:$A$1001,customers!$C$1:$C$1001,0)=0,"",XLOOKUP(C280,customers!$A$1:$A$1001,customers!$C$1:$C$1001,0))</f>
        <v>epalfrey7q@devhub.com</v>
      </c>
      <c r="H279" s="1" t="str">
        <f t="array" ref="H279">XLOOKUP(C279,customers!$A$1:$A$1001,customers!$F$1:$F$1001,0)</f>
        <v>Columbia</v>
      </c>
    </row>
    <row r="280" ht="15.75" customHeight="1">
      <c r="A280" s="1" t="s">
        <v>583</v>
      </c>
      <c r="B280" s="2">
        <v>43708.0</v>
      </c>
      <c r="C280" s="1" t="s">
        <v>584</v>
      </c>
      <c r="D280" s="3" t="s">
        <v>128</v>
      </c>
      <c r="E280" s="1">
        <v>2.0</v>
      </c>
      <c r="F280" s="1" t="str">
        <f t="array" ref="F280">XLOOKUP(C280,customers!A279:A1279, customers!B279:B1279,0)</f>
        <v>Emlynne Palfrey</v>
      </c>
      <c r="G280" s="1" t="str">
        <f t="array" ref="G280">IF(XLOOKUP(C281,customers!$A$1:$A$1001,customers!$C$1:$C$1001,0)=0,"",XLOOKUP(C281,customers!$A$1:$A$1001,customers!$C$1:$C$1001,0))</f>
        <v>pmetrick7r@rakuten.co.jp</v>
      </c>
      <c r="H280" s="1" t="str">
        <f t="array" ref="H280">XLOOKUP(C280,customers!$A$1:$A$1001,customers!$F$1:$F$1001,0)</f>
        <v>Fort Wayne</v>
      </c>
    </row>
    <row r="281" ht="15.75" customHeight="1">
      <c r="A281" s="1" t="s">
        <v>585</v>
      </c>
      <c r="B281" s="2">
        <v>43521.0</v>
      </c>
      <c r="C281" s="1" t="s">
        <v>586</v>
      </c>
      <c r="D281" s="3" t="s">
        <v>210</v>
      </c>
      <c r="E281" s="1">
        <v>1.0</v>
      </c>
      <c r="F281" s="1" t="str">
        <f t="array" ref="F281">XLOOKUP(C281,customers!A280:A1280, customers!B280:B1280,0)</f>
        <v>Parsifal Metrick</v>
      </c>
      <c r="G281" s="1" t="str">
        <f t="array" ref="G281">IF(XLOOKUP(C282,customers!$A$1:$A$1001,customers!$C$1:$C$1001,0)=0,"",XLOOKUP(C282,customers!$A$1:$A$1001,customers!$C$1:$C$1001,0))</f>
        <v/>
      </c>
      <c r="H281" s="1" t="str">
        <f t="array" ref="H281">XLOOKUP(C281,customers!$A$1:$A$1001,customers!$F$1:$F$1001,0)</f>
        <v>Saint Louis</v>
      </c>
    </row>
    <row r="282" ht="15.75" customHeight="1">
      <c r="A282" s="1" t="s">
        <v>587</v>
      </c>
      <c r="B282" s="2">
        <v>44234.0</v>
      </c>
      <c r="C282" s="1" t="s">
        <v>588</v>
      </c>
      <c r="D282" s="3" t="s">
        <v>16</v>
      </c>
      <c r="E282" s="1">
        <v>5.0</v>
      </c>
      <c r="F282" s="1" t="str">
        <f t="array" ref="F282">XLOOKUP(C282,customers!A281:A1281, customers!B281:B1281,0)</f>
        <v>Christopher Grieveson</v>
      </c>
      <c r="G282" s="1" t="str">
        <f t="array" ref="G282">IF(XLOOKUP(C283,customers!$A$1:$A$1001,customers!$C$1:$C$1001,0)=0,"",XLOOKUP(C283,customers!$A$1:$A$1001,customers!$C$1:$C$1001,0))</f>
        <v>kkarby7t@sbwire.com</v>
      </c>
      <c r="H282" s="1" t="str">
        <f t="array" ref="H282">XLOOKUP(C282,customers!$A$1:$A$1001,customers!$F$1:$F$1001,0)</f>
        <v>Portland</v>
      </c>
    </row>
    <row r="283" ht="15.75" customHeight="1">
      <c r="A283" s="1" t="s">
        <v>589</v>
      </c>
      <c r="B283" s="2">
        <v>44210.0</v>
      </c>
      <c r="C283" s="1" t="s">
        <v>590</v>
      </c>
      <c r="D283" s="3" t="s">
        <v>150</v>
      </c>
      <c r="E283" s="1">
        <v>4.0</v>
      </c>
      <c r="F283" s="1" t="str">
        <f t="array" ref="F283">XLOOKUP(C283,customers!A282:A1282, customers!B282:B1282,0)</f>
        <v>Karlan Karby</v>
      </c>
      <c r="G283" s="1" t="str">
        <f t="array" ref="G283">IF(XLOOKUP(C284,customers!$A$1:$A$1001,customers!$C$1:$C$1001,0)=0,"",XLOOKUP(C284,customers!$A$1:$A$1001,customers!$C$1:$C$1001,0))</f>
        <v>fcrumpe7u@ftc.gov</v>
      </c>
      <c r="H283" s="1" t="str">
        <f t="array" ref="H283">XLOOKUP(C283,customers!$A$1:$A$1001,customers!$F$1:$F$1001,0)</f>
        <v>Boulder</v>
      </c>
    </row>
    <row r="284" ht="15.75" customHeight="1">
      <c r="A284" s="1" t="s">
        <v>591</v>
      </c>
      <c r="B284" s="2">
        <v>43520.0</v>
      </c>
      <c r="C284" s="1" t="s">
        <v>592</v>
      </c>
      <c r="D284" s="3" t="s">
        <v>205</v>
      </c>
      <c r="E284" s="1">
        <v>1.0</v>
      </c>
      <c r="F284" s="1" t="str">
        <f t="array" ref="F284">XLOOKUP(C284,customers!A283:A1283, customers!B283:B1283,0)</f>
        <v>Flory Crumpe</v>
      </c>
      <c r="G284" s="1" t="str">
        <f t="array" ref="G284">IF(XLOOKUP(C285,customers!$A$1:$A$1001,customers!$C$1:$C$1001,0)=0,"",XLOOKUP(C285,customers!$A$1:$A$1001,customers!$C$1:$C$1001,0))</f>
        <v>achatto7v@sakura.ne.jp</v>
      </c>
      <c r="H284" s="1" t="str">
        <f t="array" ref="H284">XLOOKUP(C284,customers!$A$1:$A$1001,customers!$F$1:$F$1001,0)</f>
        <v>Norton</v>
      </c>
    </row>
    <row r="285" ht="15.75" customHeight="1">
      <c r="A285" s="1" t="s">
        <v>593</v>
      </c>
      <c r="B285" s="2">
        <v>43639.0</v>
      </c>
      <c r="C285" s="1" t="s">
        <v>594</v>
      </c>
      <c r="D285" s="3" t="s">
        <v>159</v>
      </c>
      <c r="E285" s="1">
        <v>1.0</v>
      </c>
      <c r="F285" s="1" t="str">
        <f t="array" ref="F285">XLOOKUP(C285,customers!A284:A1284, customers!B284:B1284,0)</f>
        <v>Amity Chatto</v>
      </c>
      <c r="G285" s="1" t="str">
        <f t="array" ref="G285">IF(XLOOKUP(C286,customers!$A$1:$A$1001,customers!$C$1:$C$1001,0)=0,"",XLOOKUP(C286,customers!$A$1:$A$1001,customers!$C$1:$C$1001,0))</f>
        <v/>
      </c>
      <c r="H285" s="1" t="str">
        <f t="array" ref="H285">XLOOKUP(C285,customers!$A$1:$A$1001,customers!$F$1:$F$1001,0)</f>
        <v>Sheffield</v>
      </c>
    </row>
    <row r="286" ht="15.75" customHeight="1">
      <c r="A286" s="1" t="s">
        <v>595</v>
      </c>
      <c r="B286" s="2">
        <v>43960.0</v>
      </c>
      <c r="C286" s="1" t="s">
        <v>596</v>
      </c>
      <c r="D286" s="3" t="s">
        <v>125</v>
      </c>
      <c r="E286" s="1">
        <v>3.0</v>
      </c>
      <c r="F286" s="1" t="str">
        <f t="array" ref="F286">XLOOKUP(C286,customers!A285:A1285, customers!B285:B1285,0)</f>
        <v>Nanine McCarthy</v>
      </c>
      <c r="G286" s="1" t="str">
        <f t="array" ref="G286">IF(XLOOKUP(C287,customers!$A$1:$A$1001,customers!$C$1:$C$1001,0)=0,"",XLOOKUP(C287,customers!$A$1:$A$1001,customers!$C$1:$C$1001,0))</f>
        <v/>
      </c>
      <c r="H286" s="1" t="str">
        <f t="array" ref="H286">XLOOKUP(C286,customers!$A$1:$A$1001,customers!$F$1:$F$1001,0)</f>
        <v>Louisville</v>
      </c>
    </row>
    <row r="287" ht="15.75" customHeight="1">
      <c r="A287" s="1" t="s">
        <v>597</v>
      </c>
      <c r="B287" s="2">
        <v>44030.0</v>
      </c>
      <c r="C287" s="1" t="s">
        <v>598</v>
      </c>
      <c r="D287" s="3" t="s">
        <v>117</v>
      </c>
      <c r="E287" s="1">
        <v>1.0</v>
      </c>
      <c r="F287" s="1" t="str">
        <f t="array" ref="F287">XLOOKUP(C287,customers!A286:A1286, customers!B286:B1286,0)</f>
        <v>Lyndsey Megany</v>
      </c>
      <c r="G287" s="1" t="str">
        <f t="array" ref="G287">IF(XLOOKUP(C288,customers!$A$1:$A$1001,customers!$C$1:$C$1001,0)=0,"",XLOOKUP(C288,customers!$A$1:$A$1001,customers!$C$1:$C$1001,0))</f>
        <v>bmergue7y@umn.edu</v>
      </c>
      <c r="H287" s="1" t="str">
        <f t="array" ref="H287">XLOOKUP(C287,customers!$A$1:$A$1001,customers!$F$1:$F$1001,0)</f>
        <v>Buffalo</v>
      </c>
    </row>
    <row r="288" ht="15.75" customHeight="1">
      <c r="A288" s="1" t="s">
        <v>599</v>
      </c>
      <c r="B288" s="2">
        <v>43755.0</v>
      </c>
      <c r="C288" s="1" t="s">
        <v>600</v>
      </c>
      <c r="D288" s="3" t="s">
        <v>57</v>
      </c>
      <c r="E288" s="1">
        <v>4.0</v>
      </c>
      <c r="F288" s="1" t="str">
        <f t="array" ref="F288">XLOOKUP(C288,customers!A287:A1287, customers!B287:B1287,0)</f>
        <v>Byram Mergue</v>
      </c>
      <c r="G288" s="1" t="str">
        <f t="array" ref="G288">IF(XLOOKUP(C289,customers!$A$1:$A$1001,customers!$C$1:$C$1001,0)=0,"",XLOOKUP(C289,customers!$A$1:$A$1001,customers!$C$1:$C$1001,0))</f>
        <v>kpatise7z@jigsy.com</v>
      </c>
      <c r="H288" s="1" t="str">
        <f t="array" ref="H288">XLOOKUP(C288,customers!$A$1:$A$1001,customers!$F$1:$F$1001,0)</f>
        <v>Canton</v>
      </c>
    </row>
    <row r="289" ht="15.75" customHeight="1">
      <c r="A289" s="1" t="s">
        <v>601</v>
      </c>
      <c r="B289" s="2">
        <v>44697.0</v>
      </c>
      <c r="C289" s="1" t="s">
        <v>602</v>
      </c>
      <c r="D289" s="3" t="s">
        <v>195</v>
      </c>
      <c r="E289" s="1">
        <v>4.0</v>
      </c>
      <c r="F289" s="1" t="str">
        <f t="array" ref="F289">XLOOKUP(C289,customers!A288:A1288, customers!B288:B1288,0)</f>
        <v>Kerr Patise</v>
      </c>
      <c r="G289" s="1" t="str">
        <f t="array" ref="G289">IF(XLOOKUP(C290,customers!$A$1:$A$1001,customers!$C$1:$C$1001,0)=0,"",XLOOKUP(C290,customers!$A$1:$A$1001,customers!$C$1:$C$1001,0))</f>
        <v/>
      </c>
      <c r="H289" s="1" t="str">
        <f t="array" ref="H289">XLOOKUP(C289,customers!$A$1:$A$1001,customers!$F$1:$F$1001,0)</f>
        <v>Boston</v>
      </c>
    </row>
    <row r="290" ht="15.75" customHeight="1">
      <c r="A290" s="1" t="s">
        <v>603</v>
      </c>
      <c r="B290" s="2">
        <v>44279.0</v>
      </c>
      <c r="C290" s="1" t="s">
        <v>604</v>
      </c>
      <c r="D290" s="3" t="s">
        <v>16</v>
      </c>
      <c r="E290" s="1">
        <v>1.0</v>
      </c>
      <c r="F290" s="1" t="str">
        <f t="array" ref="F290">XLOOKUP(C290,customers!A289:A1289, customers!B289:B1289,0)</f>
        <v>Mathew Goulter</v>
      </c>
      <c r="G290" s="1" t="str">
        <f t="array" ref="G290">IF(XLOOKUP(C291,customers!$A$1:$A$1001,customers!$C$1:$C$1001,0)=0,"",XLOOKUP(C291,customers!$A$1:$A$1001,customers!$C$1:$C$1001,0))</f>
        <v/>
      </c>
      <c r="H290" s="1" t="str">
        <f t="array" ref="H290">XLOOKUP(C290,customers!$A$1:$A$1001,customers!$F$1:$F$1001,0)</f>
        <v>Kinlough</v>
      </c>
    </row>
    <row r="291" ht="15.75" customHeight="1">
      <c r="A291" s="1" t="s">
        <v>605</v>
      </c>
      <c r="B291" s="2">
        <v>43772.0</v>
      </c>
      <c r="C291" s="1" t="s">
        <v>606</v>
      </c>
      <c r="D291" s="3" t="s">
        <v>114</v>
      </c>
      <c r="E291" s="1">
        <v>5.0</v>
      </c>
      <c r="F291" s="1" t="str">
        <f t="array" ref="F291">XLOOKUP(C291,customers!A290:A1290, customers!B290:B1290,0)</f>
        <v>Marris Grcic</v>
      </c>
      <c r="G291" s="1" t="str">
        <f t="array" ref="G291">IF(XLOOKUP(C292,customers!$A$1:$A$1001,customers!$C$1:$C$1001,0)=0,"",XLOOKUP(C292,customers!$A$1:$A$1001,customers!$C$1:$C$1001,0))</f>
        <v>dduke82@vkontakte.ru</v>
      </c>
      <c r="H291" s="1" t="str">
        <f t="array" ref="H291">XLOOKUP(C291,customers!$A$1:$A$1001,customers!$F$1:$F$1001,0)</f>
        <v>Lynchburg</v>
      </c>
    </row>
    <row r="292" ht="15.75" customHeight="1">
      <c r="A292" s="1" t="s">
        <v>607</v>
      </c>
      <c r="B292" s="2">
        <v>44497.0</v>
      </c>
      <c r="C292" s="1" t="s">
        <v>608</v>
      </c>
      <c r="D292" s="3" t="s">
        <v>40</v>
      </c>
      <c r="E292" s="1">
        <v>5.0</v>
      </c>
      <c r="F292" s="1" t="str">
        <f t="array" ref="F292">XLOOKUP(C292,customers!A291:A1291, customers!B291:B1291,0)</f>
        <v>Domeniga Duke</v>
      </c>
      <c r="G292" s="1" t="str">
        <f t="array" ref="G292">IF(XLOOKUP(C293,customers!$A$1:$A$1001,customers!$C$1:$C$1001,0)=0,"",XLOOKUP(C293,customers!$A$1:$A$1001,customers!$C$1:$C$1001,0))</f>
        <v/>
      </c>
      <c r="H292" s="1" t="str">
        <f t="array" ref="H292">XLOOKUP(C292,customers!$A$1:$A$1001,customers!$F$1:$F$1001,0)</f>
        <v>Los Angeles</v>
      </c>
    </row>
    <row r="293" ht="15.75" customHeight="1">
      <c r="A293" s="1" t="s">
        <v>609</v>
      </c>
      <c r="B293" s="2">
        <v>44181.0</v>
      </c>
      <c r="C293" s="1" t="s">
        <v>610</v>
      </c>
      <c r="D293" s="3" t="s">
        <v>16</v>
      </c>
      <c r="E293" s="1">
        <v>2.0</v>
      </c>
      <c r="F293" s="1" t="str">
        <f t="array" ref="F293">XLOOKUP(C293,customers!A292:A1292, customers!B292:B1292,0)</f>
        <v>Violante Skouling</v>
      </c>
      <c r="G293" s="1" t="str">
        <f t="array" ref="G293">IF(XLOOKUP(C294,customers!$A$1:$A$1001,customers!$C$1:$C$1001,0)=0,"",XLOOKUP(C294,customers!$A$1:$A$1001,customers!$C$1:$C$1001,0))</f>
        <v>ihussey84@mapy.cz</v>
      </c>
      <c r="H293" s="1" t="str">
        <f t="array" ref="H293">XLOOKUP(C293,customers!$A$1:$A$1001,customers!$F$1:$F$1001,0)</f>
        <v>Drumcondra</v>
      </c>
    </row>
    <row r="294" ht="15.75" customHeight="1">
      <c r="A294" s="1" t="s">
        <v>611</v>
      </c>
      <c r="B294" s="2">
        <v>44529.0</v>
      </c>
      <c r="C294" s="1" t="s">
        <v>612</v>
      </c>
      <c r="D294" s="3" t="s">
        <v>85</v>
      </c>
      <c r="E294" s="1">
        <v>3.0</v>
      </c>
      <c r="F294" s="1" t="str">
        <f t="array" ref="F294">XLOOKUP(C294,customers!A293:A1293, customers!B293:B1293,0)</f>
        <v>Isidore Hussey</v>
      </c>
      <c r="G294" s="1" t="str">
        <f t="array" ref="G294">IF(XLOOKUP(C295,customers!$A$1:$A$1001,customers!$C$1:$C$1001,0)=0,"",XLOOKUP(C295,customers!$A$1:$A$1001,customers!$C$1:$C$1001,0))</f>
        <v>cpinkerton85@upenn.edu</v>
      </c>
      <c r="H294" s="1" t="str">
        <f t="array" ref="H294">XLOOKUP(C294,customers!$A$1:$A$1001,customers!$F$1:$F$1001,0)</f>
        <v>Birmingham</v>
      </c>
    </row>
    <row r="295" ht="15.75" customHeight="1">
      <c r="A295" s="1" t="s">
        <v>613</v>
      </c>
      <c r="B295" s="2">
        <v>44275.0</v>
      </c>
      <c r="C295" s="1" t="s">
        <v>614</v>
      </c>
      <c r="D295" s="3" t="s">
        <v>85</v>
      </c>
      <c r="E295" s="1">
        <v>5.0</v>
      </c>
      <c r="F295" s="1" t="str">
        <f t="array" ref="F295">XLOOKUP(C295,customers!A294:A1294, customers!B294:B1294,0)</f>
        <v>Cassie Pinkerton</v>
      </c>
      <c r="G295" s="1" t="str">
        <f t="array" ref="G295">IF(XLOOKUP(C296,customers!$A$1:$A$1001,customers!$C$1:$C$1001,0)=0,"",XLOOKUP(C296,customers!$A$1:$A$1001,customers!$C$1:$C$1001,0))</f>
        <v/>
      </c>
      <c r="H295" s="1" t="str">
        <f t="array" ref="H295">XLOOKUP(C295,customers!$A$1:$A$1001,customers!$F$1:$F$1001,0)</f>
        <v>Alexandria</v>
      </c>
    </row>
    <row r="296" ht="15.75" customHeight="1">
      <c r="A296" s="1" t="s">
        <v>615</v>
      </c>
      <c r="B296" s="2">
        <v>44659.0</v>
      </c>
      <c r="C296" s="1" t="s">
        <v>616</v>
      </c>
      <c r="D296" s="3" t="s">
        <v>150</v>
      </c>
      <c r="E296" s="1">
        <v>3.0</v>
      </c>
      <c r="F296" s="1" t="str">
        <f t="array" ref="F296">XLOOKUP(C296,customers!A295:A1295, customers!B295:B1295,0)</f>
        <v>Micki Fero</v>
      </c>
      <c r="G296" s="1" t="str">
        <f t="array" ref="G296">IF(XLOOKUP(C297,customers!$A$1:$A$1001,customers!$C$1:$C$1001,0)=0,"",XLOOKUP(C297,customers!$A$1:$A$1001,customers!$C$1:$C$1001,0))</f>
        <v/>
      </c>
      <c r="H296" s="1" t="str">
        <f t="array" ref="H296">XLOOKUP(C296,customers!$A$1:$A$1001,customers!$F$1:$F$1001,0)</f>
        <v>Danbury</v>
      </c>
    </row>
    <row r="297" ht="15.75" customHeight="1">
      <c r="A297" s="1" t="s">
        <v>617</v>
      </c>
      <c r="B297" s="2">
        <v>44057.0</v>
      </c>
      <c r="C297" s="1" t="s">
        <v>618</v>
      </c>
      <c r="D297" s="3" t="s">
        <v>22</v>
      </c>
      <c r="E297" s="1">
        <v>2.0</v>
      </c>
      <c r="F297" s="1" t="str">
        <f t="array" ref="F297">XLOOKUP(C297,customers!A296:A1296, customers!B296:B1296,0)</f>
        <v>Cybill Graddell</v>
      </c>
      <c r="G297" s="1" t="str">
        <f t="array" ref="G297">IF(XLOOKUP(C298,customers!$A$1:$A$1001,customers!$C$1:$C$1001,0)=0,"",XLOOKUP(C298,customers!$A$1:$A$1001,customers!$C$1:$C$1001,0))</f>
        <v>dvizor88@furl.net</v>
      </c>
      <c r="H297" s="1" t="str">
        <f t="array" ref="H297">XLOOKUP(C297,customers!$A$1:$A$1001,customers!$F$1:$F$1001,0)</f>
        <v>Albany</v>
      </c>
    </row>
    <row r="298" ht="15.75" customHeight="1">
      <c r="A298" s="1" t="s">
        <v>619</v>
      </c>
      <c r="B298" s="2">
        <v>43597.0</v>
      </c>
      <c r="C298" s="1" t="s">
        <v>620</v>
      </c>
      <c r="D298" s="3" t="s">
        <v>35</v>
      </c>
      <c r="E298" s="1">
        <v>6.0</v>
      </c>
      <c r="F298" s="1" t="str">
        <f t="array" ref="F298">XLOOKUP(C298,customers!A297:A1297, customers!B297:B1297,0)</f>
        <v>Dorian Vizor</v>
      </c>
      <c r="G298" s="1" t="str">
        <f t="array" ref="G298">IF(XLOOKUP(C299,customers!$A$1:$A$1001,customers!$C$1:$C$1001,0)=0,"",XLOOKUP(C299,customers!$A$1:$A$1001,customers!$C$1:$C$1001,0))</f>
        <v>esedgebeer89@oaic.gov.au</v>
      </c>
      <c r="H298" s="1" t="str">
        <f t="array" ref="H298">XLOOKUP(C298,customers!$A$1:$A$1001,customers!$F$1:$F$1001,0)</f>
        <v>Naples</v>
      </c>
    </row>
    <row r="299" ht="15.75" customHeight="1">
      <c r="A299" s="1" t="s">
        <v>621</v>
      </c>
      <c r="B299" s="2">
        <v>44258.0</v>
      </c>
      <c r="C299" s="1" t="s">
        <v>622</v>
      </c>
      <c r="D299" s="3" t="s">
        <v>159</v>
      </c>
      <c r="E299" s="1">
        <v>3.0</v>
      </c>
      <c r="F299" s="1" t="str">
        <f t="array" ref="F299">XLOOKUP(C299,customers!A298:A1298, customers!B298:B1298,0)</f>
        <v>Eddi Sedgebeer</v>
      </c>
      <c r="G299" s="1" t="str">
        <f t="array" ref="G299">IF(XLOOKUP(C300,customers!$A$1:$A$1001,customers!$C$1:$C$1001,0)=0,"",XLOOKUP(C300,customers!$A$1:$A$1001,customers!$C$1:$C$1001,0))</f>
        <v>klestrange8a@lulu.com</v>
      </c>
      <c r="H299" s="1" t="str">
        <f t="array" ref="H299">XLOOKUP(C299,customers!$A$1:$A$1001,customers!$F$1:$F$1001,0)</f>
        <v>Miami Beach</v>
      </c>
    </row>
    <row r="300" ht="15.75" customHeight="1">
      <c r="A300" s="1" t="s">
        <v>623</v>
      </c>
      <c r="B300" s="2">
        <v>43872.0</v>
      </c>
      <c r="C300" s="1" t="s">
        <v>624</v>
      </c>
      <c r="D300" s="3" t="s">
        <v>267</v>
      </c>
      <c r="E300" s="1">
        <v>6.0</v>
      </c>
      <c r="F300" s="1" t="str">
        <f t="array" ref="F300">XLOOKUP(C300,customers!A299:A1299, customers!B299:B1299,0)</f>
        <v>Ken Lestrange</v>
      </c>
      <c r="G300" s="1" t="str">
        <f t="array" ref="G300">IF(XLOOKUP(C301,customers!$A$1:$A$1001,customers!$C$1:$C$1001,0)=0,"",XLOOKUP(C301,customers!$A$1:$A$1001,customers!$C$1:$C$1001,0))</f>
        <v>ltanti8b@techcrunch.com</v>
      </c>
      <c r="H300" s="1" t="str">
        <f t="array" ref="H300">XLOOKUP(C300,customers!$A$1:$A$1001,customers!$F$1:$F$1001,0)</f>
        <v>Atlanta</v>
      </c>
    </row>
    <row r="301" ht="15.75" customHeight="1">
      <c r="A301" s="1" t="s">
        <v>625</v>
      </c>
      <c r="B301" s="2">
        <v>43582.0</v>
      </c>
      <c r="C301" s="1" t="s">
        <v>626</v>
      </c>
      <c r="D301" s="3" t="s">
        <v>43</v>
      </c>
      <c r="E301" s="1">
        <v>6.0</v>
      </c>
      <c r="F301" s="1" t="str">
        <f t="array" ref="F301">XLOOKUP(C301,customers!A300:A1300, customers!B300:B1300,0)</f>
        <v>Lacee Tanti</v>
      </c>
      <c r="G301" s="1" t="str">
        <f t="array" ref="G301">IF(XLOOKUP(C302,customers!$A$1:$A$1001,customers!$C$1:$C$1001,0)=0,"",XLOOKUP(C302,customers!$A$1:$A$1001,customers!$C$1:$C$1001,0))</f>
        <v>ade8c@1und1.de</v>
      </c>
      <c r="H301" s="1" t="str">
        <f t="array" ref="H301">XLOOKUP(C301,customers!$A$1:$A$1001,customers!$F$1:$F$1001,0)</f>
        <v>Corpus Christi</v>
      </c>
    </row>
    <row r="302" ht="15.75" customHeight="1">
      <c r="A302" s="1" t="s">
        <v>627</v>
      </c>
      <c r="B302" s="2">
        <v>44646.0</v>
      </c>
      <c r="C302" s="1" t="s">
        <v>628</v>
      </c>
      <c r="D302" s="3" t="s">
        <v>19</v>
      </c>
      <c r="E302" s="1">
        <v>3.0</v>
      </c>
      <c r="F302" s="1" t="str">
        <f t="array" ref="F302">XLOOKUP(C302,customers!A301:A1301, customers!B301:B1301,0)</f>
        <v>Arel De Lasci</v>
      </c>
      <c r="G302" s="1" t="str">
        <f t="array" ref="G302">IF(XLOOKUP(C303,customers!$A$1:$A$1001,customers!$C$1:$C$1001,0)=0,"",XLOOKUP(C303,customers!$A$1:$A$1001,customers!$C$1:$C$1001,0))</f>
        <v>tjedrachowicz8d@acquirethisname.com</v>
      </c>
      <c r="H302" s="1" t="str">
        <f t="array" ref="H302">XLOOKUP(C302,customers!$A$1:$A$1001,customers!$F$1:$F$1001,0)</f>
        <v>Honolulu</v>
      </c>
    </row>
    <row r="303" ht="15.75" customHeight="1">
      <c r="A303" s="1" t="s">
        <v>629</v>
      </c>
      <c r="B303" s="2">
        <v>44102.0</v>
      </c>
      <c r="C303" s="1" t="s">
        <v>630</v>
      </c>
      <c r="D303" s="3" t="s">
        <v>51</v>
      </c>
      <c r="E303" s="1">
        <v>4.0</v>
      </c>
      <c r="F303" s="1" t="str">
        <f t="array" ref="F303">XLOOKUP(C303,customers!A302:A1302, customers!B302:B1302,0)</f>
        <v>Trescha Jedrachowicz</v>
      </c>
      <c r="G303" s="1" t="str">
        <f t="array" ref="G303">IF(XLOOKUP(C304,customers!$A$1:$A$1001,customers!$C$1:$C$1001,0)=0,"",XLOOKUP(C304,customers!$A$1:$A$1001,customers!$C$1:$C$1001,0))</f>
        <v>pstonner8e@moonfruit.com</v>
      </c>
      <c r="H303" s="1" t="str">
        <f t="array" ref="H303">XLOOKUP(C303,customers!$A$1:$A$1001,customers!$F$1:$F$1001,0)</f>
        <v>Austin</v>
      </c>
    </row>
    <row r="304" ht="15.75" customHeight="1">
      <c r="A304" s="1" t="s">
        <v>631</v>
      </c>
      <c r="B304" s="2">
        <v>43762.0</v>
      </c>
      <c r="C304" s="1" t="s">
        <v>632</v>
      </c>
      <c r="D304" s="3" t="s">
        <v>80</v>
      </c>
      <c r="E304" s="1">
        <v>1.0</v>
      </c>
      <c r="F304" s="1" t="str">
        <f t="array" ref="F304">XLOOKUP(C304,customers!A303:A1303, customers!B303:B1303,0)</f>
        <v>Perkin Stonner</v>
      </c>
      <c r="G304" s="1" t="str">
        <f t="array" ref="G304">IF(XLOOKUP(C305,customers!$A$1:$A$1001,customers!$C$1:$C$1001,0)=0,"",XLOOKUP(C305,customers!$A$1:$A$1001,customers!$C$1:$C$1001,0))</f>
        <v>dtingly8f@goo.ne.jp</v>
      </c>
      <c r="H304" s="1" t="str">
        <f t="array" ref="H304">XLOOKUP(C304,customers!$A$1:$A$1001,customers!$F$1:$F$1001,0)</f>
        <v>Baltimore</v>
      </c>
    </row>
    <row r="305" ht="15.75" customHeight="1">
      <c r="A305" s="1" t="s">
        <v>633</v>
      </c>
      <c r="B305" s="2">
        <v>44412.0</v>
      </c>
      <c r="C305" s="1" t="s">
        <v>634</v>
      </c>
      <c r="D305" s="3" t="s">
        <v>543</v>
      </c>
      <c r="E305" s="1">
        <v>4.0</v>
      </c>
      <c r="F305" s="1" t="str">
        <f t="array" ref="F305">XLOOKUP(C305,customers!A304:A1304, customers!B304:B1304,0)</f>
        <v>Darrin Tingly</v>
      </c>
      <c r="G305" s="1" t="str">
        <f t="array" ref="G305">IF(XLOOKUP(C306,customers!$A$1:$A$1001,customers!$C$1:$C$1001,0)=0,"",XLOOKUP(C306,customers!$A$1:$A$1001,customers!$C$1:$C$1001,0))</f>
        <v>crushe8n@about.me</v>
      </c>
      <c r="H305" s="1" t="str">
        <f t="array" ref="H305">XLOOKUP(C305,customers!$A$1:$A$1001,customers!$F$1:$F$1001,0)</f>
        <v>Lexington</v>
      </c>
    </row>
    <row r="306" ht="15.75" customHeight="1">
      <c r="A306" s="1" t="s">
        <v>635</v>
      </c>
      <c r="B306" s="2">
        <v>43828.0</v>
      </c>
      <c r="C306" s="1" t="s">
        <v>636</v>
      </c>
      <c r="D306" s="3" t="s">
        <v>128</v>
      </c>
      <c r="E306" s="1">
        <v>1.0</v>
      </c>
      <c r="F306" s="1" t="str">
        <f t="array" ref="F306">XLOOKUP(C306,customers!A305:A1305, customers!B305:B1305,0)</f>
        <v>Claudetta Rushe</v>
      </c>
      <c r="G306" s="1" t="str">
        <f t="array" ref="G306">IF(XLOOKUP(C307,customers!$A$1:$A$1001,customers!$C$1:$C$1001,0)=0,"",XLOOKUP(C307,customers!$A$1:$A$1001,customers!$C$1:$C$1001,0))</f>
        <v>bchecci8h@usa.gov</v>
      </c>
      <c r="H306" s="1" t="str">
        <f t="array" ref="H306">XLOOKUP(C306,customers!$A$1:$A$1001,customers!$F$1:$F$1001,0)</f>
        <v>Charlotte</v>
      </c>
    </row>
    <row r="307" ht="15.75" customHeight="1">
      <c r="A307" s="1" t="s">
        <v>637</v>
      </c>
      <c r="B307" s="2">
        <v>43796.0</v>
      </c>
      <c r="C307" s="1" t="s">
        <v>638</v>
      </c>
      <c r="D307" s="3" t="s">
        <v>90</v>
      </c>
      <c r="E307" s="1">
        <v>5.0</v>
      </c>
      <c r="F307" s="1" t="str">
        <f t="array" ref="F307">XLOOKUP(C307,customers!A306:A1306, customers!B306:B1306,0)</f>
        <v>Benn Checci</v>
      </c>
      <c r="G307" s="1" t="str">
        <f t="array" ref="G307">IF(XLOOKUP(C308,customers!$A$1:$A$1001,customers!$C$1:$C$1001,0)=0,"",XLOOKUP(C308,customers!$A$1:$A$1001,customers!$C$1:$C$1001,0))</f>
        <v>jbagot8i@mac.com</v>
      </c>
      <c r="H307" s="1" t="str">
        <f t="array" ref="H307">XLOOKUP(C307,customers!$A$1:$A$1001,customers!$F$1:$F$1001,0)</f>
        <v>Eaton</v>
      </c>
    </row>
    <row r="308" ht="15.75" customHeight="1">
      <c r="A308" s="1" t="s">
        <v>639</v>
      </c>
      <c r="B308" s="2">
        <v>43890.0</v>
      </c>
      <c r="C308" s="1" t="s">
        <v>640</v>
      </c>
      <c r="D308" s="3" t="s">
        <v>175</v>
      </c>
      <c r="E308" s="1">
        <v>5.0</v>
      </c>
      <c r="F308" s="1" t="str">
        <f t="array" ref="F308">XLOOKUP(C308,customers!A307:A1307, customers!B307:B1307,0)</f>
        <v>Janifer Bagot</v>
      </c>
      <c r="G308" s="1" t="str">
        <f t="array" ref="G308">IF(XLOOKUP(C309,customers!$A$1:$A$1001,customers!$C$1:$C$1001,0)=0,"",XLOOKUP(C309,customers!$A$1:$A$1001,customers!$C$1:$C$1001,0))</f>
        <v>ebeeble8j@soundcloud.com</v>
      </c>
      <c r="H308" s="1" t="str">
        <f t="array" ref="H308">XLOOKUP(C308,customers!$A$1:$A$1001,customers!$F$1:$F$1001,0)</f>
        <v>Lincoln</v>
      </c>
    </row>
    <row r="309" ht="15.75" customHeight="1">
      <c r="A309" s="1" t="s">
        <v>641</v>
      </c>
      <c r="B309" s="2">
        <v>44227.0</v>
      </c>
      <c r="C309" s="1" t="s">
        <v>642</v>
      </c>
      <c r="D309" s="3" t="s">
        <v>74</v>
      </c>
      <c r="E309" s="1">
        <v>3.0</v>
      </c>
      <c r="F309" s="1" t="str">
        <f t="array" ref="F309">XLOOKUP(C309,customers!A308:A1308, customers!B308:B1308,0)</f>
        <v>Ermin Beeble</v>
      </c>
      <c r="G309" s="1" t="str">
        <f t="array" ref="G309">IF(XLOOKUP(C310,customers!$A$1:$A$1001,customers!$C$1:$C$1001,0)=0,"",XLOOKUP(C310,customers!$A$1:$A$1001,customers!$C$1:$C$1001,0))</f>
        <v>cfluin8k@flickr.com</v>
      </c>
      <c r="H309" s="1" t="str">
        <f t="array" ref="H309">XLOOKUP(C309,customers!$A$1:$A$1001,customers!$F$1:$F$1001,0)</f>
        <v>Cincinnati</v>
      </c>
    </row>
    <row r="310" ht="15.75" customHeight="1">
      <c r="A310" s="1" t="s">
        <v>643</v>
      </c>
      <c r="B310" s="2">
        <v>44729.0</v>
      </c>
      <c r="C310" s="1" t="s">
        <v>644</v>
      </c>
      <c r="D310" s="3" t="s">
        <v>74</v>
      </c>
      <c r="E310" s="1">
        <v>3.0</v>
      </c>
      <c r="F310" s="1" t="str">
        <f t="array" ref="F310">XLOOKUP(C310,customers!A309:A1309, customers!B309:B1309,0)</f>
        <v>Cos Fluin</v>
      </c>
      <c r="G310" s="1" t="str">
        <f t="array" ref="G310">IF(XLOOKUP(C311,customers!$A$1:$A$1001,customers!$C$1:$C$1001,0)=0,"",XLOOKUP(C311,customers!$A$1:$A$1001,customers!$C$1:$C$1001,0))</f>
        <v>ebletsor8l@vinaora.com</v>
      </c>
      <c r="H310" s="1" t="str">
        <f t="array" ref="H310">XLOOKUP(C310,customers!$A$1:$A$1001,customers!$F$1:$F$1001,0)</f>
        <v>Sheffield</v>
      </c>
    </row>
    <row r="311" ht="15.75" customHeight="1">
      <c r="A311" s="1" t="s">
        <v>645</v>
      </c>
      <c r="B311" s="2">
        <v>43864.0</v>
      </c>
      <c r="C311" s="1" t="s">
        <v>646</v>
      </c>
      <c r="D311" s="3" t="s">
        <v>90</v>
      </c>
      <c r="E311" s="1">
        <v>6.0</v>
      </c>
      <c r="F311" s="1" t="str">
        <f t="array" ref="F311">XLOOKUP(C311,customers!A310:A1310, customers!B310:B1310,0)</f>
        <v>Eveleen Bletsor</v>
      </c>
      <c r="G311" s="1" t="str">
        <f t="array" ref="G311">IF(XLOOKUP(C312,customers!$A$1:$A$1001,customers!$C$1:$C$1001,0)=0,"",XLOOKUP(C312,customers!$A$1:$A$1001,customers!$C$1:$C$1001,0))</f>
        <v>pbrydell8m@bloglovin.com</v>
      </c>
      <c r="H311" s="1" t="str">
        <f t="array" ref="H311">XLOOKUP(C311,customers!$A$1:$A$1001,customers!$F$1:$F$1001,0)</f>
        <v>West Hartford</v>
      </c>
    </row>
    <row r="312" ht="15.75" customHeight="1">
      <c r="A312" s="1" t="s">
        <v>647</v>
      </c>
      <c r="B312" s="2">
        <v>44586.0</v>
      </c>
      <c r="C312" s="1" t="s">
        <v>648</v>
      </c>
      <c r="D312" s="3" t="s">
        <v>150</v>
      </c>
      <c r="E312" s="1">
        <v>1.0</v>
      </c>
      <c r="F312" s="1" t="str">
        <f t="array" ref="F312">XLOOKUP(C312,customers!A311:A1311, customers!B311:B1311,0)</f>
        <v>Paola Brydell</v>
      </c>
      <c r="G312" s="1" t="str">
        <f t="array" ref="G312">IF(XLOOKUP(C313,customers!$A$1:$A$1001,customers!$C$1:$C$1001,0)=0,"",XLOOKUP(C313,customers!$A$1:$A$1001,customers!$C$1:$C$1001,0))</f>
        <v>crushe8n@about.me</v>
      </c>
      <c r="H312" s="1" t="str">
        <f t="array" ref="H312">XLOOKUP(C312,customers!$A$1:$A$1001,customers!$F$1:$F$1001,0)</f>
        <v>Listowel</v>
      </c>
    </row>
    <row r="313" ht="15.75" customHeight="1">
      <c r="A313" s="1" t="s">
        <v>649</v>
      </c>
      <c r="B313" s="2">
        <v>43951.0</v>
      </c>
      <c r="C313" s="1" t="s">
        <v>636</v>
      </c>
      <c r="D313" s="3" t="s">
        <v>125</v>
      </c>
      <c r="E313" s="1">
        <v>6.0</v>
      </c>
      <c r="F313" s="1" t="str">
        <f t="array" ref="F313">XLOOKUP(C313,customers!A312:A1312, customers!B312:B1312,0)</f>
        <v>Claudetta Rushe</v>
      </c>
      <c r="G313" s="1" t="str">
        <f t="array" ref="G313">IF(XLOOKUP(C314,customers!$A$1:$A$1001,customers!$C$1:$C$1001,0)=0,"",XLOOKUP(C314,customers!$A$1:$A$1001,customers!$C$1:$C$1001,0))</f>
        <v>nleethem8o@mac.com</v>
      </c>
      <c r="H313" s="1" t="str">
        <f t="array" ref="H313">XLOOKUP(C313,customers!$A$1:$A$1001,customers!$F$1:$F$1001,0)</f>
        <v>Charlotte</v>
      </c>
    </row>
    <row r="314" ht="15.75" customHeight="1">
      <c r="A314" s="1" t="s">
        <v>650</v>
      </c>
      <c r="B314" s="2">
        <v>44317.0</v>
      </c>
      <c r="C314" s="1" t="s">
        <v>651</v>
      </c>
      <c r="D314" s="3" t="s">
        <v>35</v>
      </c>
      <c r="E314" s="1">
        <v>1.0</v>
      </c>
      <c r="F314" s="1" t="str">
        <f t="array" ref="F314">XLOOKUP(C314,customers!A313:A1313, customers!B313:B1313,0)</f>
        <v>Natka Leethem</v>
      </c>
      <c r="G314" s="1" t="str">
        <f t="array" ref="G314">IF(XLOOKUP(C315,customers!$A$1:$A$1001,customers!$C$1:$C$1001,0)=0,"",XLOOKUP(C315,customers!$A$1:$A$1001,customers!$C$1:$C$1001,0))</f>
        <v>anesfield8p@people.com.cn</v>
      </c>
      <c r="H314" s="1" t="str">
        <f t="array" ref="H314">XLOOKUP(C314,customers!$A$1:$A$1001,customers!$F$1:$F$1001,0)</f>
        <v>Alexandria</v>
      </c>
    </row>
    <row r="315" ht="15.75" customHeight="1">
      <c r="A315" s="1" t="s">
        <v>652</v>
      </c>
      <c r="B315" s="2">
        <v>44497.0</v>
      </c>
      <c r="C315" s="1" t="s">
        <v>653</v>
      </c>
      <c r="D315" s="3" t="s">
        <v>15</v>
      </c>
      <c r="E315" s="1">
        <v>3.0</v>
      </c>
      <c r="F315" s="1" t="str">
        <f t="array" ref="F315">XLOOKUP(C315,customers!A314:A1314, customers!B314:B1314,0)</f>
        <v>Ailene Nesfield</v>
      </c>
      <c r="G315" s="1" t="str">
        <f t="array" ref="G315">IF(XLOOKUP(C316,customers!$A$1:$A$1001,customers!$C$1:$C$1001,0)=0,"",XLOOKUP(C316,customers!$A$1:$A$1001,customers!$C$1:$C$1001,0))</f>
        <v/>
      </c>
      <c r="H315" s="1" t="str">
        <f t="array" ref="H315">XLOOKUP(C315,customers!$A$1:$A$1001,customers!$F$1:$F$1001,0)</f>
        <v>Belfast</v>
      </c>
    </row>
    <row r="316" ht="15.75" customHeight="1">
      <c r="A316" s="1" t="s">
        <v>654</v>
      </c>
      <c r="B316" s="2">
        <v>44437.0</v>
      </c>
      <c r="C316" s="1" t="s">
        <v>655</v>
      </c>
      <c r="D316" s="3" t="s">
        <v>192</v>
      </c>
      <c r="E316" s="1">
        <v>5.0</v>
      </c>
      <c r="F316" s="1" t="str">
        <f t="array" ref="F316">XLOOKUP(C316,customers!A315:A1315, customers!B315:B1315,0)</f>
        <v>Stacy Pickworth</v>
      </c>
      <c r="G316" s="1" t="str">
        <f t="array" ref="G316">IF(XLOOKUP(C317,customers!$A$1:$A$1001,customers!$C$1:$C$1001,0)=0,"",XLOOKUP(C317,customers!$A$1:$A$1001,customers!$C$1:$C$1001,0))</f>
        <v>mbrockway8r@ibm.com</v>
      </c>
      <c r="H316" s="1" t="str">
        <f t="array" ref="H316">XLOOKUP(C316,customers!$A$1:$A$1001,customers!$F$1:$F$1001,0)</f>
        <v>Las Vegas</v>
      </c>
    </row>
    <row r="317" ht="15.75" customHeight="1">
      <c r="A317" s="1" t="s">
        <v>656</v>
      </c>
      <c r="B317" s="2">
        <v>43826.0</v>
      </c>
      <c r="C317" s="1" t="s">
        <v>657</v>
      </c>
      <c r="D317" s="3" t="s">
        <v>43</v>
      </c>
      <c r="E317" s="1">
        <v>1.0</v>
      </c>
      <c r="F317" s="1" t="str">
        <f t="array" ref="F317">XLOOKUP(C317,customers!A316:A1316, customers!B316:B1316,0)</f>
        <v>Melli Brockway</v>
      </c>
      <c r="G317" s="1" t="str">
        <f t="array" ref="G317">IF(XLOOKUP(C318,customers!$A$1:$A$1001,customers!$C$1:$C$1001,0)=0,"",XLOOKUP(C318,customers!$A$1:$A$1001,customers!$C$1:$C$1001,0))</f>
        <v>nlush8s@dedecms.com</v>
      </c>
      <c r="H317" s="1" t="str">
        <f t="array" ref="H317">XLOOKUP(C317,customers!$A$1:$A$1001,customers!$F$1:$F$1001,0)</f>
        <v>Des Moines</v>
      </c>
    </row>
    <row r="318" ht="15.75" customHeight="1">
      <c r="A318" s="1" t="s">
        <v>658</v>
      </c>
      <c r="B318" s="2">
        <v>43641.0</v>
      </c>
      <c r="C318" s="1" t="s">
        <v>659</v>
      </c>
      <c r="D318" s="3" t="s">
        <v>43</v>
      </c>
      <c r="E318" s="1">
        <v>6.0</v>
      </c>
      <c r="F318" s="1" t="str">
        <f t="array" ref="F318">XLOOKUP(C318,customers!A317:A1317, customers!B317:B1317,0)</f>
        <v>Nanny Lush</v>
      </c>
      <c r="G318" s="1" t="str">
        <f t="array" ref="G318">IF(XLOOKUP(C319,customers!$A$1:$A$1001,customers!$C$1:$C$1001,0)=0,"",XLOOKUP(C319,customers!$A$1:$A$1001,customers!$C$1:$C$1001,0))</f>
        <v>smcmillian8t@csmonitor.com</v>
      </c>
      <c r="H318" s="1" t="str">
        <f t="array" ref="H318">XLOOKUP(C318,customers!$A$1:$A$1001,customers!$F$1:$F$1001,0)</f>
        <v>Ballivor</v>
      </c>
    </row>
    <row r="319" ht="15.75" customHeight="1">
      <c r="A319" s="1" t="s">
        <v>660</v>
      </c>
      <c r="B319" s="2">
        <v>43526.0</v>
      </c>
      <c r="C319" s="1" t="s">
        <v>661</v>
      </c>
      <c r="D319" s="3" t="s">
        <v>29</v>
      </c>
      <c r="E319" s="1">
        <v>3.0</v>
      </c>
      <c r="F319" s="1" t="str">
        <f t="array" ref="F319">XLOOKUP(C319,customers!A318:A1318, customers!B318:B1318,0)</f>
        <v>Selma McMillian</v>
      </c>
      <c r="G319" s="1" t="str">
        <f t="array" ref="G319">IF(XLOOKUP(C320,customers!$A$1:$A$1001,customers!$C$1:$C$1001,0)=0,"",XLOOKUP(C320,customers!$A$1:$A$1001,customers!$C$1:$C$1001,0))</f>
        <v>tbennison8u@google.cn</v>
      </c>
      <c r="H319" s="1" t="str">
        <f t="array" ref="H319">XLOOKUP(C319,customers!$A$1:$A$1001,customers!$F$1:$F$1001,0)</f>
        <v>Akron</v>
      </c>
    </row>
    <row r="320" ht="15.75" customHeight="1">
      <c r="A320" s="1" t="s">
        <v>662</v>
      </c>
      <c r="B320" s="2">
        <v>44563.0</v>
      </c>
      <c r="C320" s="1" t="s">
        <v>663</v>
      </c>
      <c r="D320" s="3" t="s">
        <v>184</v>
      </c>
      <c r="E320" s="1">
        <v>2.0</v>
      </c>
      <c r="F320" s="1" t="str">
        <f t="array" ref="F320">XLOOKUP(C320,customers!A319:A1319, customers!B319:B1319,0)</f>
        <v>Tess Bennison</v>
      </c>
      <c r="G320" s="1" t="str">
        <f t="array" ref="G320">IF(XLOOKUP(C321,customers!$A$1:$A$1001,customers!$C$1:$C$1001,0)=0,"",XLOOKUP(C321,customers!$A$1:$A$1001,customers!$C$1:$C$1001,0))</f>
        <v>gtweed8v@yolasite.com</v>
      </c>
      <c r="H320" s="1" t="str">
        <f t="array" ref="H320">XLOOKUP(C320,customers!$A$1:$A$1001,customers!$F$1:$F$1001,0)</f>
        <v>West Palm Beach</v>
      </c>
    </row>
    <row r="321" ht="15.75" customHeight="1">
      <c r="A321" s="1" t="s">
        <v>664</v>
      </c>
      <c r="B321" s="2">
        <v>43676.0</v>
      </c>
      <c r="C321" s="1" t="s">
        <v>665</v>
      </c>
      <c r="D321" s="3" t="s">
        <v>77</v>
      </c>
      <c r="E321" s="1">
        <v>2.0</v>
      </c>
      <c r="F321" s="1" t="str">
        <f t="array" ref="F321">XLOOKUP(C321,customers!A320:A1320, customers!B320:B1320,0)</f>
        <v>Gabie Tweed</v>
      </c>
      <c r="G321" s="1" t="str">
        <f t="array" ref="G321">IF(XLOOKUP(C322,customers!$A$1:$A$1001,customers!$C$1:$C$1001,0)=0,"",XLOOKUP(C322,customers!$A$1:$A$1001,customers!$C$1:$C$1001,0))</f>
        <v>gtweed8v@yolasite.com</v>
      </c>
      <c r="H321" s="1" t="str">
        <f t="array" ref="H321">XLOOKUP(C321,customers!$A$1:$A$1001,customers!$F$1:$F$1001,0)</f>
        <v>Fresno</v>
      </c>
    </row>
    <row r="322" ht="15.75" customHeight="1">
      <c r="A322" s="1" t="s">
        <v>664</v>
      </c>
      <c r="B322" s="2">
        <v>43676.0</v>
      </c>
      <c r="C322" s="1" t="s">
        <v>665</v>
      </c>
      <c r="D322" s="3" t="s">
        <v>128</v>
      </c>
      <c r="E322" s="1">
        <v>5.0</v>
      </c>
      <c r="F322" s="1" t="str">
        <f t="array" ref="F322">XLOOKUP(C322,customers!A321:A1321, customers!B321:B1321,0)</f>
        <v>Gabie Tweed</v>
      </c>
      <c r="G322" s="1" t="str">
        <f t="array" ref="G322">IF(XLOOKUP(C323,customers!$A$1:$A$1001,customers!$C$1:$C$1001,0)=0,"",XLOOKUP(C323,customers!$A$1:$A$1001,customers!$C$1:$C$1001,0))</f>
        <v>ggoggin8x@wix.com</v>
      </c>
      <c r="H322" s="1" t="str">
        <f t="array" ref="H322">XLOOKUP(C322,customers!$A$1:$A$1001,customers!$F$1:$F$1001,0)</f>
        <v>Fresno</v>
      </c>
    </row>
    <row r="323" ht="15.75" customHeight="1">
      <c r="A323" s="1" t="s">
        <v>666</v>
      </c>
      <c r="B323" s="2">
        <v>44170.0</v>
      </c>
      <c r="C323" s="1" t="s">
        <v>667</v>
      </c>
      <c r="D323" s="3" t="s">
        <v>57</v>
      </c>
      <c r="E323" s="1">
        <v>6.0</v>
      </c>
      <c r="F323" s="1" t="str">
        <f t="array" ref="F323">XLOOKUP(C323,customers!A322:A1322, customers!B322:B1322,0)</f>
        <v>Gaile Goggin</v>
      </c>
      <c r="G323" s="1" t="str">
        <f t="array" ref="G323">IF(XLOOKUP(C324,customers!$A$1:$A$1001,customers!$C$1:$C$1001,0)=0,"",XLOOKUP(C324,customers!$A$1:$A$1001,customers!$C$1:$C$1001,0))</f>
        <v>sjeyness8y@biglobe.ne.jp</v>
      </c>
      <c r="H323" s="1" t="str">
        <f t="array" ref="H323">XLOOKUP(C323,customers!$A$1:$A$1001,customers!$F$1:$F$1001,0)</f>
        <v>Sandyford</v>
      </c>
    </row>
    <row r="324" ht="15.75" customHeight="1">
      <c r="A324" s="1" t="s">
        <v>668</v>
      </c>
      <c r="B324" s="2">
        <v>44182.0</v>
      </c>
      <c r="C324" s="1" t="s">
        <v>669</v>
      </c>
      <c r="D324" s="3" t="s">
        <v>136</v>
      </c>
      <c r="E324" s="1">
        <v>3.0</v>
      </c>
      <c r="F324" s="1" t="str">
        <f t="array" ref="F324">XLOOKUP(C324,customers!A323:A1323, customers!B323:B1323,0)</f>
        <v>Skylar Jeyness</v>
      </c>
      <c r="G324" s="1" t="str">
        <f t="array" ref="G324">IF(XLOOKUP(C325,customers!$A$1:$A$1001,customers!$C$1:$C$1001,0)=0,"",XLOOKUP(C325,customers!$A$1:$A$1001,customers!$C$1:$C$1001,0))</f>
        <v>dbonhome8z@shinystat.com</v>
      </c>
      <c r="H324" s="1" t="str">
        <f t="array" ref="H324">XLOOKUP(C324,customers!$A$1:$A$1001,customers!$F$1:$F$1001,0)</f>
        <v>Dublin</v>
      </c>
    </row>
    <row r="325" ht="15.75" customHeight="1">
      <c r="A325" s="1" t="s">
        <v>670</v>
      </c>
      <c r="B325" s="2">
        <v>44373.0</v>
      </c>
      <c r="C325" s="1" t="s">
        <v>671</v>
      </c>
      <c r="D325" s="3" t="s">
        <v>64</v>
      </c>
      <c r="E325" s="1">
        <v>5.0</v>
      </c>
      <c r="F325" s="1" t="str">
        <f t="array" ref="F325">XLOOKUP(C325,customers!A324:A1324, customers!B324:B1324,0)</f>
        <v>Donica Bonhome</v>
      </c>
      <c r="G325" s="1" t="str">
        <f t="array" ref="G325">IF(XLOOKUP(C326,customers!$A$1:$A$1001,customers!$C$1:$C$1001,0)=0,"",XLOOKUP(C326,customers!$A$1:$A$1001,customers!$C$1:$C$1001,0))</f>
        <v/>
      </c>
      <c r="H325" s="1" t="str">
        <f t="array" ref="H325">XLOOKUP(C325,customers!$A$1:$A$1001,customers!$F$1:$F$1001,0)</f>
        <v>Knoxville</v>
      </c>
    </row>
    <row r="326" ht="15.75" customHeight="1">
      <c r="A326" s="1" t="s">
        <v>672</v>
      </c>
      <c r="B326" s="2">
        <v>43666.0</v>
      </c>
      <c r="C326" s="1" t="s">
        <v>673</v>
      </c>
      <c r="D326" s="3" t="s">
        <v>22</v>
      </c>
      <c r="E326" s="1">
        <v>1.0</v>
      </c>
      <c r="F326" s="1" t="str">
        <f t="array" ref="F326">XLOOKUP(C326,customers!A325:A1325, customers!B325:B1325,0)</f>
        <v>Diena Peetermann</v>
      </c>
      <c r="G326" s="1" t="str">
        <f t="array" ref="G326">IF(XLOOKUP(C327,customers!$A$1:$A$1001,customers!$C$1:$C$1001,0)=0,"",XLOOKUP(C327,customers!$A$1:$A$1001,customers!$C$1:$C$1001,0))</f>
        <v>tle91@epa.gov</v>
      </c>
      <c r="H326" s="1" t="str">
        <f t="array" ref="H326">XLOOKUP(C326,customers!$A$1:$A$1001,customers!$F$1:$F$1001,0)</f>
        <v>Shawnee Mission</v>
      </c>
    </row>
    <row r="327" ht="15.75" customHeight="1">
      <c r="A327" s="1" t="s">
        <v>674</v>
      </c>
      <c r="B327" s="2">
        <v>44756.0</v>
      </c>
      <c r="C327" s="1" t="s">
        <v>675</v>
      </c>
      <c r="D327" s="3" t="s">
        <v>217</v>
      </c>
      <c r="E327" s="1">
        <v>1.0</v>
      </c>
      <c r="F327" s="1" t="str">
        <f t="array" ref="F327">XLOOKUP(C327,customers!A326:A1326, customers!B326:B1326,0)</f>
        <v>Trina Le Sarr</v>
      </c>
      <c r="G327" s="1" t="str">
        <f t="array" ref="G327">IF(XLOOKUP(C328,customers!$A$1:$A$1001,customers!$C$1:$C$1001,0)=0,"",XLOOKUP(C328,customers!$A$1:$A$1001,customers!$C$1:$C$1001,0))</f>
        <v/>
      </c>
      <c r="H327" s="1" t="str">
        <f t="array" ref="H327">XLOOKUP(C327,customers!$A$1:$A$1001,customers!$F$1:$F$1001,0)</f>
        <v>San Francisco</v>
      </c>
    </row>
    <row r="328" ht="15.75" customHeight="1">
      <c r="A328" s="1" t="s">
        <v>676</v>
      </c>
      <c r="B328" s="2">
        <v>44057.0</v>
      </c>
      <c r="C328" s="1" t="s">
        <v>677</v>
      </c>
      <c r="D328" s="3" t="s">
        <v>192</v>
      </c>
      <c r="E328" s="1">
        <v>5.0</v>
      </c>
      <c r="F328" s="1" t="str">
        <f t="array" ref="F328">XLOOKUP(C328,customers!A327:A1327, customers!B327:B1327,0)</f>
        <v>Flynn Antony</v>
      </c>
      <c r="G328" s="1" t="str">
        <f t="array" ref="G328">IF(XLOOKUP(C329,customers!$A$1:$A$1001,customers!$C$1:$C$1001,0)=0,"",XLOOKUP(C329,customers!$A$1:$A$1001,customers!$C$1:$C$1001,0))</f>
        <v>balldridge93@yandex.ru</v>
      </c>
      <c r="H328" s="1" t="str">
        <f t="array" ref="H328">XLOOKUP(C328,customers!$A$1:$A$1001,customers!$F$1:$F$1001,0)</f>
        <v>Birmingham</v>
      </c>
    </row>
    <row r="329" ht="15.75" customHeight="1">
      <c r="A329" s="1" t="s">
        <v>678</v>
      </c>
      <c r="B329" s="2">
        <v>43579.0</v>
      </c>
      <c r="C329" s="1" t="s">
        <v>679</v>
      </c>
      <c r="D329" s="3" t="s">
        <v>192</v>
      </c>
      <c r="E329" s="1">
        <v>5.0</v>
      </c>
      <c r="F329" s="1" t="str">
        <f t="array" ref="F329">XLOOKUP(C329,customers!A328:A1328, customers!B328:B1328,0)</f>
        <v>Baudoin Alldridge</v>
      </c>
      <c r="G329" s="1" t="str">
        <f t="array" ref="G329">IF(XLOOKUP(C330,customers!$A$1:$A$1001,customers!$C$1:$C$1001,0)=0,"",XLOOKUP(C330,customers!$A$1:$A$1001,customers!$C$1:$C$1001,0))</f>
        <v/>
      </c>
      <c r="H329" s="1" t="str">
        <f t="array" ref="H329">XLOOKUP(C329,customers!$A$1:$A$1001,customers!$F$1:$F$1001,0)</f>
        <v>Brooklyn</v>
      </c>
    </row>
    <row r="330" ht="15.75" customHeight="1">
      <c r="A330" s="1" t="s">
        <v>680</v>
      </c>
      <c r="B330" s="2">
        <v>43620.0</v>
      </c>
      <c r="C330" s="1" t="s">
        <v>681</v>
      </c>
      <c r="D330" s="3" t="s">
        <v>96</v>
      </c>
      <c r="E330" s="1">
        <v>4.0</v>
      </c>
      <c r="F330" s="1" t="str">
        <f t="array" ref="F330">XLOOKUP(C330,customers!A329:A1329, customers!B329:B1329,0)</f>
        <v>Homer Dulany</v>
      </c>
      <c r="G330" s="1" t="str">
        <f t="array" ref="G330">IF(XLOOKUP(C331,customers!$A$1:$A$1001,customers!$C$1:$C$1001,0)=0,"",XLOOKUP(C331,customers!$A$1:$A$1001,customers!$C$1:$C$1001,0))</f>
        <v>lgoodger95@guardian.co.uk</v>
      </c>
      <c r="H330" s="1" t="str">
        <f t="array" ref="H330">XLOOKUP(C330,customers!$A$1:$A$1001,customers!$F$1:$F$1001,0)</f>
        <v>El Paso</v>
      </c>
    </row>
    <row r="331" ht="15.75" customHeight="1">
      <c r="A331" s="1" t="s">
        <v>682</v>
      </c>
      <c r="B331" s="2">
        <v>44781.0</v>
      </c>
      <c r="C331" s="1" t="s">
        <v>683</v>
      </c>
      <c r="D331" s="3" t="s">
        <v>159</v>
      </c>
      <c r="E331" s="1">
        <v>4.0</v>
      </c>
      <c r="F331" s="1" t="str">
        <f t="array" ref="F331">XLOOKUP(C331,customers!A330:A1330, customers!B330:B1330,0)</f>
        <v>Lisa Goodger</v>
      </c>
      <c r="G331" s="1" t="str">
        <f t="array" ref="G331">IF(XLOOKUP(C332,customers!$A$1:$A$1001,customers!$C$1:$C$1001,0)=0,"",XLOOKUP(C332,customers!$A$1:$A$1001,customers!$C$1:$C$1001,0))</f>
        <v>smcmillian8t@csmonitor.com</v>
      </c>
      <c r="H331" s="1" t="str">
        <f t="array" ref="H331">XLOOKUP(C331,customers!$A$1:$A$1001,customers!$F$1:$F$1001,0)</f>
        <v>Sacramento</v>
      </c>
    </row>
    <row r="332" ht="15.75" customHeight="1">
      <c r="A332" s="1" t="s">
        <v>684</v>
      </c>
      <c r="B332" s="2">
        <v>43782.0</v>
      </c>
      <c r="C332" s="1" t="s">
        <v>661</v>
      </c>
      <c r="D332" s="3" t="s">
        <v>159</v>
      </c>
      <c r="E332" s="1">
        <v>3.0</v>
      </c>
      <c r="F332" s="1">
        <f t="array" ref="F332">XLOOKUP(C332,customers!A331:A1331, customers!B331:B1331,0)</f>
        <v>0</v>
      </c>
      <c r="G332" s="1" t="str">
        <f t="array" ref="G332">IF(XLOOKUP(C333,customers!$A$1:$A$1001,customers!$C$1:$C$1001,0)=0,"",XLOOKUP(C333,customers!$A$1:$A$1001,customers!$C$1:$C$1001,0))</f>
        <v>cdrewett97@wikipedia.org</v>
      </c>
      <c r="H332" s="1" t="str">
        <f t="array" ref="H332">XLOOKUP(C332,customers!$A$1:$A$1001,customers!$F$1:$F$1001,0)</f>
        <v>Akron</v>
      </c>
    </row>
    <row r="333" ht="15.75" customHeight="1">
      <c r="A333" s="1" t="s">
        <v>685</v>
      </c>
      <c r="B333" s="2">
        <v>43989.0</v>
      </c>
      <c r="C333" s="1" t="s">
        <v>686</v>
      </c>
      <c r="D333" s="3" t="s">
        <v>54</v>
      </c>
      <c r="E333" s="1">
        <v>1.0</v>
      </c>
      <c r="F333" s="1" t="str">
        <f t="array" ref="F333">XLOOKUP(C333,customers!A332:A1332, customers!B332:B1332,0)</f>
        <v>Corine Drewett</v>
      </c>
      <c r="G333" s="1" t="str">
        <f t="array" ref="G333">IF(XLOOKUP(C334,customers!$A$1:$A$1001,customers!$C$1:$C$1001,0)=0,"",XLOOKUP(C334,customers!$A$1:$A$1001,customers!$C$1:$C$1001,0))</f>
        <v>qparsons98@blogtalkradio.com</v>
      </c>
      <c r="H333" s="1" t="str">
        <f t="array" ref="H333">XLOOKUP(C333,customers!$A$1:$A$1001,customers!$F$1:$F$1001,0)</f>
        <v>Boynton Beach</v>
      </c>
    </row>
    <row r="334" ht="15.75" customHeight="1">
      <c r="A334" s="1" t="s">
        <v>687</v>
      </c>
      <c r="B334" s="2">
        <v>43689.0</v>
      </c>
      <c r="C334" s="1" t="s">
        <v>688</v>
      </c>
      <c r="D334" s="3" t="s">
        <v>85</v>
      </c>
      <c r="E334" s="1">
        <v>3.0</v>
      </c>
      <c r="F334" s="1" t="str">
        <f t="array" ref="F334">XLOOKUP(C334,customers!A333:A1333, customers!B333:B1333,0)</f>
        <v>Quinn Parsons</v>
      </c>
      <c r="G334" s="1" t="str">
        <f t="array" ref="G334">IF(XLOOKUP(C335,customers!$A$1:$A$1001,customers!$C$1:$C$1001,0)=0,"",XLOOKUP(C335,customers!$A$1:$A$1001,customers!$C$1:$C$1001,0))</f>
        <v>vceely99@auda.org.au</v>
      </c>
      <c r="H334" s="1" t="str">
        <f t="array" ref="H334">XLOOKUP(C334,customers!$A$1:$A$1001,customers!$F$1:$F$1001,0)</f>
        <v>Los Angeles</v>
      </c>
    </row>
    <row r="335" ht="15.75" customHeight="1">
      <c r="A335" s="1" t="s">
        <v>689</v>
      </c>
      <c r="B335" s="2">
        <v>43712.0</v>
      </c>
      <c r="C335" s="1" t="s">
        <v>690</v>
      </c>
      <c r="D335" s="3" t="s">
        <v>35</v>
      </c>
      <c r="E335" s="1">
        <v>4.0</v>
      </c>
      <c r="F335" s="1" t="str">
        <f t="array" ref="F335">XLOOKUP(C335,customers!A334:A1334, customers!B334:B1334,0)</f>
        <v>Vivyan Ceely</v>
      </c>
      <c r="G335" s="1" t="str">
        <f t="array" ref="G335">IF(XLOOKUP(C336,customers!$A$1:$A$1001,customers!$C$1:$C$1001,0)=0,"",XLOOKUP(C336,customers!$A$1:$A$1001,customers!$C$1:$C$1001,0))</f>
        <v/>
      </c>
      <c r="H335" s="1" t="str">
        <f t="array" ref="H335">XLOOKUP(C335,customers!$A$1:$A$1001,customers!$F$1:$F$1001,0)</f>
        <v>Baltimore</v>
      </c>
    </row>
    <row r="336" ht="15.75" customHeight="1">
      <c r="A336" s="1" t="s">
        <v>691</v>
      </c>
      <c r="B336" s="2">
        <v>43742.0</v>
      </c>
      <c r="C336" s="1" t="s">
        <v>692</v>
      </c>
      <c r="D336" s="3" t="s">
        <v>202</v>
      </c>
      <c r="E336" s="1">
        <v>5.0</v>
      </c>
      <c r="F336" s="1" t="str">
        <f t="array" ref="F336">XLOOKUP(C336,customers!A335:A1335, customers!B335:B1335,0)</f>
        <v>Elonore Goodings</v>
      </c>
      <c r="G336" s="1" t="str">
        <f t="array" ref="G336">IF(XLOOKUP(C337,customers!$A$1:$A$1001,customers!$C$1:$C$1001,0)=0,"",XLOOKUP(C337,customers!$A$1:$A$1001,customers!$C$1:$C$1001,0))</f>
        <v>cvasiliev9b@discuz.net</v>
      </c>
      <c r="H336" s="1" t="str">
        <f t="array" ref="H336">XLOOKUP(C336,customers!$A$1:$A$1001,customers!$F$1:$F$1001,0)</f>
        <v>Salt Lake City</v>
      </c>
    </row>
    <row r="337" ht="15.75" customHeight="1">
      <c r="A337" s="1" t="s">
        <v>693</v>
      </c>
      <c r="B337" s="2">
        <v>43885.0</v>
      </c>
      <c r="C337" s="1" t="s">
        <v>694</v>
      </c>
      <c r="D337" s="3" t="s">
        <v>32</v>
      </c>
      <c r="E337" s="1">
        <v>6.0</v>
      </c>
      <c r="F337" s="1" t="str">
        <f t="array" ref="F337">XLOOKUP(C337,customers!A336:A1336, customers!B336:B1336,0)</f>
        <v>Clement Vasiliev</v>
      </c>
      <c r="G337" s="1" t="str">
        <f t="array" ref="G337">IF(XLOOKUP(C338,customers!$A$1:$A$1001,customers!$C$1:$C$1001,0)=0,"",XLOOKUP(C338,customers!$A$1:$A$1001,customers!$C$1:$C$1001,0))</f>
        <v>tomoylan9c@liveinternet.ru</v>
      </c>
      <c r="H337" s="1" t="str">
        <f t="array" ref="H337">XLOOKUP(C337,customers!$A$1:$A$1001,customers!$F$1:$F$1001,0)</f>
        <v>Garland</v>
      </c>
    </row>
    <row r="338" ht="15.75" customHeight="1">
      <c r="A338" s="1" t="s">
        <v>695</v>
      </c>
      <c r="B338" s="2">
        <v>44434.0</v>
      </c>
      <c r="C338" s="1" t="s">
        <v>696</v>
      </c>
      <c r="D338" s="3" t="s">
        <v>74</v>
      </c>
      <c r="E338" s="1">
        <v>4.0</v>
      </c>
      <c r="F338" s="1" t="str">
        <f t="array" ref="F338">XLOOKUP(C338,customers!A337:A1337, customers!B337:B1337,0)</f>
        <v>Terencio O'Moylan</v>
      </c>
      <c r="G338" s="1" t="str">
        <f t="array" ref="G338">IF(XLOOKUP(C339,customers!$A$1:$A$1001,customers!$C$1:$C$1001,0)=0,"",XLOOKUP(C339,customers!$A$1:$A$1001,customers!$C$1:$C$1001,0))</f>
        <v/>
      </c>
      <c r="H338" s="1" t="str">
        <f t="array" ref="H338">XLOOKUP(C338,customers!$A$1:$A$1001,customers!$F$1:$F$1001,0)</f>
        <v>Church End</v>
      </c>
    </row>
    <row r="339" ht="15.75" customHeight="1">
      <c r="A339" s="1" t="s">
        <v>697</v>
      </c>
      <c r="B339" s="2">
        <v>44472.0</v>
      </c>
      <c r="C339" s="1" t="s">
        <v>677</v>
      </c>
      <c r="D339" s="3" t="s">
        <v>543</v>
      </c>
      <c r="E339" s="1">
        <v>2.0</v>
      </c>
      <c r="F339" s="1">
        <f t="array" ref="F339">XLOOKUP(C339,customers!A338:A1338, customers!B338:B1338,0)</f>
        <v>0</v>
      </c>
      <c r="G339" s="1" t="str">
        <f t="array" ref="G339">IF(XLOOKUP(C340,customers!$A$1:$A$1001,customers!$C$1:$C$1001,0)=0,"",XLOOKUP(C340,customers!$A$1:$A$1001,customers!$C$1:$C$1001,0))</f>
        <v>wfetherston9e@constantcontact.com</v>
      </c>
      <c r="H339" s="1" t="str">
        <f t="array" ref="H339">XLOOKUP(C339,customers!$A$1:$A$1001,customers!$F$1:$F$1001,0)</f>
        <v>Birmingham</v>
      </c>
    </row>
    <row r="340" ht="15.75" customHeight="1">
      <c r="A340" s="1" t="s">
        <v>698</v>
      </c>
      <c r="B340" s="2">
        <v>43995.0</v>
      </c>
      <c r="C340" s="1" t="s">
        <v>699</v>
      </c>
      <c r="D340" s="3" t="s">
        <v>150</v>
      </c>
      <c r="E340" s="1">
        <v>4.0</v>
      </c>
      <c r="F340" s="1" t="str">
        <f t="array" ref="F340">XLOOKUP(C340,customers!A339:A1339, customers!B339:B1339,0)</f>
        <v>Wyatan Fetherston</v>
      </c>
      <c r="G340" s="1" t="str">
        <f t="array" ref="G340">IF(XLOOKUP(C341,customers!$A$1:$A$1001,customers!$C$1:$C$1001,0)=0,"",XLOOKUP(C341,customers!$A$1:$A$1001,customers!$C$1:$C$1001,0))</f>
        <v>erasmus9f@techcrunch.com</v>
      </c>
      <c r="H340" s="1" t="str">
        <f t="array" ref="H340">XLOOKUP(C340,customers!$A$1:$A$1001,customers!$F$1:$F$1001,0)</f>
        <v>New York City</v>
      </c>
    </row>
    <row r="341" ht="15.75" customHeight="1">
      <c r="A341" s="1" t="s">
        <v>700</v>
      </c>
      <c r="B341" s="2">
        <v>44256.0</v>
      </c>
      <c r="C341" s="1" t="s">
        <v>701</v>
      </c>
      <c r="D341" s="3" t="s">
        <v>64</v>
      </c>
      <c r="E341" s="1">
        <v>2.0</v>
      </c>
      <c r="F341" s="1" t="str">
        <f t="array" ref="F341">XLOOKUP(C341,customers!A340:A1340, customers!B340:B1340,0)</f>
        <v>Emmaline Rasmus</v>
      </c>
      <c r="G341" s="1" t="str">
        <f t="array" ref="G341">IF(XLOOKUP(C342,customers!$A$1:$A$1001,customers!$C$1:$C$1001,0)=0,"",XLOOKUP(C342,customers!$A$1:$A$1001,customers!$C$1:$C$1001,0))</f>
        <v>wgiorgioni9g@wikipedia.org</v>
      </c>
      <c r="H341" s="1" t="str">
        <f t="array" ref="H341">XLOOKUP(C341,customers!$A$1:$A$1001,customers!$F$1:$F$1001,0)</f>
        <v>Boston</v>
      </c>
    </row>
    <row r="342" ht="15.75" customHeight="1">
      <c r="A342" s="1" t="s">
        <v>702</v>
      </c>
      <c r="B342" s="2">
        <v>43528.0</v>
      </c>
      <c r="C342" s="1" t="s">
        <v>703</v>
      </c>
      <c r="D342" s="3" t="s">
        <v>29</v>
      </c>
      <c r="E342" s="1">
        <v>1.0</v>
      </c>
      <c r="F342" s="1" t="str">
        <f t="array" ref="F342">XLOOKUP(C342,customers!A341:A1341, customers!B341:B1341,0)</f>
        <v>Wesley Giorgioni</v>
      </c>
      <c r="G342" s="1" t="str">
        <f t="array" ref="G342">IF(XLOOKUP(C343,customers!$A$1:$A$1001,customers!$C$1:$C$1001,0)=0,"",XLOOKUP(C343,customers!$A$1:$A$1001,customers!$C$1:$C$1001,0))</f>
        <v>lscargle9h@myspace.com</v>
      </c>
      <c r="H342" s="1" t="str">
        <f t="array" ref="H342">XLOOKUP(C342,customers!$A$1:$A$1001,customers!$F$1:$F$1001,0)</f>
        <v>San Francisco</v>
      </c>
    </row>
    <row r="343" ht="15.75" customHeight="1">
      <c r="A343" s="1" t="s">
        <v>704</v>
      </c>
      <c r="B343" s="2">
        <v>43751.0</v>
      </c>
      <c r="C343" s="1" t="s">
        <v>705</v>
      </c>
      <c r="D343" s="3" t="s">
        <v>189</v>
      </c>
      <c r="E343" s="1">
        <v>2.0</v>
      </c>
      <c r="F343" s="1" t="str">
        <f t="array" ref="F343">XLOOKUP(C343,customers!A342:A1342, customers!B342:B1342,0)</f>
        <v>Lucienne Scargle</v>
      </c>
      <c r="G343" s="1" t="str">
        <f t="array" ref="G343">IF(XLOOKUP(C344,customers!$A$1:$A$1001,customers!$C$1:$C$1001,0)=0,"",XLOOKUP(C344,customers!$A$1:$A$1001,customers!$C$1:$C$1001,0))</f>
        <v>lscargle9h@myspace.com</v>
      </c>
      <c r="H343" s="1" t="str">
        <f t="array" ref="H343">XLOOKUP(C343,customers!$A$1:$A$1001,customers!$F$1:$F$1001,0)</f>
        <v>Indianapolis</v>
      </c>
    </row>
    <row r="344" ht="15.75" customHeight="1">
      <c r="A344" s="1" t="s">
        <v>704</v>
      </c>
      <c r="B344" s="2">
        <v>43751.0</v>
      </c>
      <c r="C344" s="1" t="s">
        <v>705</v>
      </c>
      <c r="D344" s="3" t="s">
        <v>136</v>
      </c>
      <c r="E344" s="1">
        <v>5.0</v>
      </c>
      <c r="F344" s="1" t="str">
        <f t="array" ref="F344">XLOOKUP(C344,customers!A343:A1343, customers!B343:B1343,0)</f>
        <v>Lucienne Scargle</v>
      </c>
      <c r="G344" s="1" t="str">
        <f t="array" ref="G344">IF(XLOOKUP(C345,customers!$A$1:$A$1001,customers!$C$1:$C$1001,0)=0,"",XLOOKUP(C345,customers!$A$1:$A$1001,customers!$C$1:$C$1001,0))</f>
        <v>nclimance9j@europa.eu</v>
      </c>
      <c r="H344" s="1" t="str">
        <f t="array" ref="H344">XLOOKUP(C344,customers!$A$1:$A$1001,customers!$F$1:$F$1001,0)</f>
        <v>Indianapolis</v>
      </c>
    </row>
    <row r="345" ht="15.75" customHeight="1">
      <c r="A345" s="1" t="s">
        <v>706</v>
      </c>
      <c r="B345" s="2">
        <v>43692.0</v>
      </c>
      <c r="C345" s="1" t="s">
        <v>707</v>
      </c>
      <c r="D345" s="3" t="s">
        <v>159</v>
      </c>
      <c r="E345" s="1">
        <v>6.0</v>
      </c>
      <c r="F345" s="1" t="str">
        <f t="array" ref="F345">XLOOKUP(C345,customers!A344:A1344, customers!B344:B1344,0)</f>
        <v>Noam Climance</v>
      </c>
      <c r="G345" s="1" t="str">
        <f t="array" ref="G345">IF(XLOOKUP(C346,customers!$A$1:$A$1001,customers!$C$1:$C$1001,0)=0,"",XLOOKUP(C346,customers!$A$1:$A$1001,customers!$C$1:$C$1001,0))</f>
        <v/>
      </c>
      <c r="H345" s="1" t="str">
        <f t="array" ref="H345">XLOOKUP(C345,customers!$A$1:$A$1001,customers!$F$1:$F$1001,0)</f>
        <v>Seattle</v>
      </c>
    </row>
    <row r="346" ht="15.75" customHeight="1">
      <c r="A346" s="1" t="s">
        <v>708</v>
      </c>
      <c r="B346" s="2">
        <v>44529.0</v>
      </c>
      <c r="C346" s="1" t="s">
        <v>709</v>
      </c>
      <c r="D346" s="3" t="s">
        <v>15</v>
      </c>
      <c r="E346" s="1">
        <v>2.0</v>
      </c>
      <c r="F346" s="1" t="str">
        <f t="array" ref="F346">XLOOKUP(C346,customers!A345:A1345, customers!B345:B1345,0)</f>
        <v>Catarina Donn</v>
      </c>
      <c r="G346" s="1" t="str">
        <f t="array" ref="G346">IF(XLOOKUP(C347,customers!$A$1:$A$1001,customers!$C$1:$C$1001,0)=0,"",XLOOKUP(C347,customers!$A$1:$A$1001,customers!$C$1:$C$1001,0))</f>
        <v>asnazle9l@oracle.com</v>
      </c>
      <c r="H346" s="1" t="str">
        <f t="array" ref="H346">XLOOKUP(C346,customers!$A$1:$A$1001,customers!$F$1:$F$1001,0)</f>
        <v>Dunmanway</v>
      </c>
    </row>
    <row r="347" ht="15.75" customHeight="1">
      <c r="A347" s="1" t="s">
        <v>710</v>
      </c>
      <c r="B347" s="2">
        <v>43849.0</v>
      </c>
      <c r="C347" s="1" t="s">
        <v>711</v>
      </c>
      <c r="D347" s="3" t="s">
        <v>202</v>
      </c>
      <c r="E347" s="1">
        <v>5.0</v>
      </c>
      <c r="F347" s="1" t="str">
        <f t="array" ref="F347">XLOOKUP(C347,customers!A346:A1346, customers!B346:B1346,0)</f>
        <v>Ameline Snazle</v>
      </c>
      <c r="G347" s="1" t="str">
        <f t="array" ref="G347">IF(XLOOKUP(C348,customers!$A$1:$A$1001,customers!$C$1:$C$1001,0)=0,"",XLOOKUP(C348,customers!$A$1:$A$1001,customers!$C$1:$C$1001,0))</f>
        <v>rworg9m@arstechnica.com</v>
      </c>
      <c r="H347" s="1" t="str">
        <f t="array" ref="H347">XLOOKUP(C347,customers!$A$1:$A$1001,customers!$F$1:$F$1001,0)</f>
        <v>Montgomery</v>
      </c>
    </row>
    <row r="348" ht="15.75" customHeight="1">
      <c r="A348" s="1" t="s">
        <v>712</v>
      </c>
      <c r="B348" s="2">
        <v>44344.0</v>
      </c>
      <c r="C348" s="1" t="s">
        <v>713</v>
      </c>
      <c r="D348" s="3" t="s">
        <v>205</v>
      </c>
      <c r="E348" s="1">
        <v>3.0</v>
      </c>
      <c r="F348" s="1" t="str">
        <f t="array" ref="F348">XLOOKUP(C348,customers!A347:A1347, customers!B347:B1347,0)</f>
        <v>Rebeka Worg</v>
      </c>
      <c r="G348" s="1" t="str">
        <f t="array" ref="G348">IF(XLOOKUP(C349,customers!$A$1:$A$1001,customers!$C$1:$C$1001,0)=0,"",XLOOKUP(C349,customers!$A$1:$A$1001,customers!$C$1:$C$1001,0))</f>
        <v>ldanes9n@umn.edu</v>
      </c>
      <c r="H348" s="1" t="str">
        <f t="array" ref="H348">XLOOKUP(C348,customers!$A$1:$A$1001,customers!$F$1:$F$1001,0)</f>
        <v>Dallas</v>
      </c>
    </row>
    <row r="349" ht="15.75" customHeight="1">
      <c r="A349" s="1" t="s">
        <v>714</v>
      </c>
      <c r="B349" s="2">
        <v>44576.0</v>
      </c>
      <c r="C349" s="1" t="s">
        <v>715</v>
      </c>
      <c r="D349" s="3" t="s">
        <v>109</v>
      </c>
      <c r="E349" s="1">
        <v>3.0</v>
      </c>
      <c r="F349" s="1" t="str">
        <f t="array" ref="F349">XLOOKUP(C349,customers!A348:A1348, customers!B348:B1348,0)</f>
        <v>Lewes Danes</v>
      </c>
      <c r="G349" s="1" t="str">
        <f t="array" ref="G349">IF(XLOOKUP(C350,customers!$A$1:$A$1001,customers!$C$1:$C$1001,0)=0,"",XLOOKUP(C350,customers!$A$1:$A$1001,customers!$C$1:$C$1001,0))</f>
        <v>skeynd9o@narod.ru</v>
      </c>
      <c r="H349" s="1" t="str">
        <f t="array" ref="H349">XLOOKUP(C349,customers!$A$1:$A$1001,customers!$F$1:$F$1001,0)</f>
        <v>Topeka</v>
      </c>
    </row>
    <row r="350" ht="15.75" customHeight="1">
      <c r="A350" s="1" t="s">
        <v>716</v>
      </c>
      <c r="B350" s="2">
        <v>43803.0</v>
      </c>
      <c r="C350" s="1" t="s">
        <v>717</v>
      </c>
      <c r="D350" s="3" t="s">
        <v>43</v>
      </c>
      <c r="E350" s="1">
        <v>6.0</v>
      </c>
      <c r="F350" s="1" t="str">
        <f t="array" ref="F350">XLOOKUP(C350,customers!A349:A1349, customers!B349:B1349,0)</f>
        <v>Shelli Keynd</v>
      </c>
      <c r="G350" s="1" t="str">
        <f t="array" ref="G350">IF(XLOOKUP(C351,customers!$A$1:$A$1001,customers!$C$1:$C$1001,0)=0,"",XLOOKUP(C351,customers!$A$1:$A$1001,customers!$C$1:$C$1001,0))</f>
        <v>ddaveridge9p@arstechnica.com</v>
      </c>
      <c r="H350" s="1" t="str">
        <f t="array" ref="H350">XLOOKUP(C350,customers!$A$1:$A$1001,customers!$F$1:$F$1001,0)</f>
        <v>Tyler</v>
      </c>
    </row>
    <row r="351" ht="15.75" customHeight="1">
      <c r="A351" s="1" t="s">
        <v>718</v>
      </c>
      <c r="B351" s="2">
        <v>44743.0</v>
      </c>
      <c r="C351" s="1" t="s">
        <v>719</v>
      </c>
      <c r="D351" s="3" t="s">
        <v>195</v>
      </c>
      <c r="E351" s="1">
        <v>4.0</v>
      </c>
      <c r="F351" s="1" t="str">
        <f t="array" ref="F351">XLOOKUP(C351,customers!A350:A1350, customers!B350:B1350,0)</f>
        <v>Dell Daveridge</v>
      </c>
      <c r="G351" s="1" t="str">
        <f t="array" ref="G351">IF(XLOOKUP(C352,customers!$A$1:$A$1001,customers!$C$1:$C$1001,0)=0,"",XLOOKUP(C352,customers!$A$1:$A$1001,customers!$C$1:$C$1001,0))</f>
        <v>jawdry9q@utexas.edu</v>
      </c>
      <c r="H351" s="1" t="str">
        <f t="array" ref="H351">XLOOKUP(C351,customers!$A$1:$A$1001,customers!$F$1:$F$1001,0)</f>
        <v>Los Angeles</v>
      </c>
    </row>
    <row r="352" ht="15.75" customHeight="1">
      <c r="A352" s="1" t="s">
        <v>720</v>
      </c>
      <c r="B352" s="2">
        <v>43592.0</v>
      </c>
      <c r="C352" s="1" t="s">
        <v>721</v>
      </c>
      <c r="D352" s="3" t="s">
        <v>85</v>
      </c>
      <c r="E352" s="1">
        <v>4.0</v>
      </c>
      <c r="F352" s="1" t="str">
        <f t="array" ref="F352">XLOOKUP(C352,customers!A351:A1351, customers!B351:B1351,0)</f>
        <v>Joshuah Awdry</v>
      </c>
      <c r="G352" s="1" t="str">
        <f t="array" ref="G352">IF(XLOOKUP(C353,customers!$A$1:$A$1001,customers!$C$1:$C$1001,0)=0,"",XLOOKUP(C353,customers!$A$1:$A$1001,customers!$C$1:$C$1001,0))</f>
        <v>eryles9r@fastcompany.com</v>
      </c>
      <c r="H352" s="1" t="str">
        <f t="array" ref="H352">XLOOKUP(C352,customers!$A$1:$A$1001,customers!$F$1:$F$1001,0)</f>
        <v>Shreveport</v>
      </c>
    </row>
    <row r="353" ht="15.75" customHeight="1">
      <c r="A353" s="1" t="s">
        <v>722</v>
      </c>
      <c r="B353" s="2">
        <v>44066.0</v>
      </c>
      <c r="C353" s="1" t="s">
        <v>723</v>
      </c>
      <c r="D353" s="3" t="s">
        <v>74</v>
      </c>
      <c r="E353" s="1">
        <v>2.0</v>
      </c>
      <c r="F353" s="1" t="str">
        <f t="array" ref="F353">XLOOKUP(C353,customers!A352:A1352, customers!B352:B1352,0)</f>
        <v>Ethel Ryles</v>
      </c>
      <c r="G353" s="1" t="str">
        <f t="array" ref="G353">IF(XLOOKUP(C354,customers!$A$1:$A$1001,customers!$C$1:$C$1001,0)=0,"",XLOOKUP(C354,customers!$A$1:$A$1001,customers!$C$1:$C$1001,0))</f>
        <v/>
      </c>
      <c r="H353" s="1" t="str">
        <f t="array" ref="H353">XLOOKUP(C353,customers!$A$1:$A$1001,customers!$F$1:$F$1001,0)</f>
        <v>Boise</v>
      </c>
    </row>
    <row r="354" ht="15.75" customHeight="1">
      <c r="A354" s="1" t="s">
        <v>724</v>
      </c>
      <c r="B354" s="2">
        <v>43984.0</v>
      </c>
      <c r="C354" s="1" t="s">
        <v>677</v>
      </c>
      <c r="D354" s="3" t="s">
        <v>29</v>
      </c>
      <c r="E354" s="1">
        <v>5.0</v>
      </c>
      <c r="F354" s="1">
        <f t="array" ref="F354">XLOOKUP(C354,customers!A353:A1353, customers!B353:B1353,0)</f>
        <v>0</v>
      </c>
      <c r="G354" s="1" t="str">
        <f t="array" ref="G354">IF(XLOOKUP(C355,customers!$A$1:$A$1001,customers!$C$1:$C$1001,0)=0,"",XLOOKUP(C355,customers!$A$1:$A$1001,customers!$C$1:$C$1001,0))</f>
        <v/>
      </c>
      <c r="H354" s="1" t="str">
        <f t="array" ref="H354">XLOOKUP(C354,customers!$A$1:$A$1001,customers!$F$1:$F$1001,0)</f>
        <v>Birmingham</v>
      </c>
    </row>
    <row r="355" ht="15.75" customHeight="1">
      <c r="A355" s="1" t="s">
        <v>725</v>
      </c>
      <c r="B355" s="2">
        <v>43860.0</v>
      </c>
      <c r="C355" s="1" t="s">
        <v>726</v>
      </c>
      <c r="D355" s="3" t="s">
        <v>80</v>
      </c>
      <c r="E355" s="1">
        <v>4.0</v>
      </c>
      <c r="F355" s="1" t="str">
        <f t="array" ref="F355">XLOOKUP(C355,customers!A354:A1354, customers!B354:B1354,0)</f>
        <v>Maitilde Boxill</v>
      </c>
      <c r="G355" s="1" t="str">
        <f t="array" ref="G355">IF(XLOOKUP(C356,customers!$A$1:$A$1001,customers!$C$1:$C$1001,0)=0,"",XLOOKUP(C356,customers!$A$1:$A$1001,customers!$C$1:$C$1001,0))</f>
        <v>jcaldicott9u@usda.gov</v>
      </c>
      <c r="H355" s="1" t="str">
        <f t="array" ref="H355">XLOOKUP(C355,customers!$A$1:$A$1001,customers!$F$1:$F$1001,0)</f>
        <v>Montgomery</v>
      </c>
    </row>
    <row r="356" ht="15.75" customHeight="1">
      <c r="A356" s="1" t="s">
        <v>727</v>
      </c>
      <c r="B356" s="2">
        <v>43876.0</v>
      </c>
      <c r="C356" s="1" t="s">
        <v>728</v>
      </c>
      <c r="D356" s="3" t="s">
        <v>184</v>
      </c>
      <c r="E356" s="1">
        <v>6.0</v>
      </c>
      <c r="F356" s="1" t="str">
        <f t="array" ref="F356">XLOOKUP(C356,customers!A355:A1355, customers!B355:B1355,0)</f>
        <v>Jodee Caldicott</v>
      </c>
      <c r="G356" s="1" t="str">
        <f t="array" ref="G356">IF(XLOOKUP(C357,customers!$A$1:$A$1001,customers!$C$1:$C$1001,0)=0,"",XLOOKUP(C357,customers!$A$1:$A$1001,customers!$C$1:$C$1001,0))</f>
        <v>mvedmore9v@a8.net</v>
      </c>
      <c r="H356" s="1" t="str">
        <f t="array" ref="H356">XLOOKUP(C356,customers!$A$1:$A$1001,customers!$F$1:$F$1001,0)</f>
        <v>Fort Pierce</v>
      </c>
    </row>
    <row r="357" ht="15.75" customHeight="1">
      <c r="A357" s="1" t="s">
        <v>729</v>
      </c>
      <c r="B357" s="2">
        <v>44358.0</v>
      </c>
      <c r="C357" s="1" t="s">
        <v>730</v>
      </c>
      <c r="D357" s="3" t="s">
        <v>131</v>
      </c>
      <c r="E357" s="1">
        <v>5.0</v>
      </c>
      <c r="F357" s="1" t="str">
        <f t="array" ref="F357">XLOOKUP(C357,customers!A356:A1356, customers!B356:B1356,0)</f>
        <v>Marianna Vedmore</v>
      </c>
      <c r="G357" s="1" t="str">
        <f t="array" ref="G357">IF(XLOOKUP(C358,customers!$A$1:$A$1001,customers!$C$1:$C$1001,0)=0,"",XLOOKUP(C358,customers!$A$1:$A$1001,customers!$C$1:$C$1001,0))</f>
        <v>wromao9w@chronoengine.com</v>
      </c>
      <c r="H357" s="1" t="str">
        <f t="array" ref="H357">XLOOKUP(C357,customers!$A$1:$A$1001,customers!$F$1:$F$1001,0)</f>
        <v>Greensboro</v>
      </c>
    </row>
    <row r="358" ht="15.75" customHeight="1">
      <c r="A358" s="1" t="s">
        <v>731</v>
      </c>
      <c r="B358" s="2">
        <v>44631.0</v>
      </c>
      <c r="C358" s="1" t="s">
        <v>732</v>
      </c>
      <c r="D358" s="3" t="s">
        <v>26</v>
      </c>
      <c r="E358" s="1">
        <v>4.0</v>
      </c>
      <c r="F358" s="1" t="str">
        <f t="array" ref="F358">XLOOKUP(C358,customers!A357:A1357, customers!B357:B1357,0)</f>
        <v>Willey Romao</v>
      </c>
      <c r="G358" s="1" t="str">
        <f t="array" ref="G358">IF(XLOOKUP(C359,customers!$A$1:$A$1001,customers!$C$1:$C$1001,0)=0,"",XLOOKUP(C359,customers!$A$1:$A$1001,customers!$C$1:$C$1001,0))</f>
        <v/>
      </c>
      <c r="H358" s="1" t="str">
        <f t="array" ref="H358">XLOOKUP(C358,customers!$A$1:$A$1001,customers!$F$1:$F$1001,0)</f>
        <v>Sacramento</v>
      </c>
    </row>
    <row r="359" ht="15.75" customHeight="1">
      <c r="A359" s="1" t="s">
        <v>733</v>
      </c>
      <c r="B359" s="2">
        <v>44448.0</v>
      </c>
      <c r="C359" s="1" t="s">
        <v>734</v>
      </c>
      <c r="D359" s="3" t="s">
        <v>184</v>
      </c>
      <c r="E359" s="1">
        <v>6.0</v>
      </c>
      <c r="F359" s="1" t="str">
        <f t="array" ref="F359">XLOOKUP(C359,customers!A358:A1358, customers!B358:B1358,0)</f>
        <v>Enriqueta Ixor</v>
      </c>
      <c r="G359" s="1" t="str">
        <f t="array" ref="G359">IF(XLOOKUP(C360,customers!$A$1:$A$1001,customers!$C$1:$C$1001,0)=0,"",XLOOKUP(C360,customers!$A$1:$A$1001,customers!$C$1:$C$1001,0))</f>
        <v>tcotmore9y@amazonaws.com</v>
      </c>
      <c r="H359" s="1" t="str">
        <f t="array" ref="H359">XLOOKUP(C359,customers!$A$1:$A$1001,customers!$F$1:$F$1001,0)</f>
        <v>Round Rock</v>
      </c>
    </row>
    <row r="360" ht="15.75" customHeight="1">
      <c r="A360" s="1" t="s">
        <v>735</v>
      </c>
      <c r="B360" s="2">
        <v>43599.0</v>
      </c>
      <c r="C360" s="1" t="s">
        <v>736</v>
      </c>
      <c r="D360" s="3" t="s">
        <v>217</v>
      </c>
      <c r="E360" s="1">
        <v>1.0</v>
      </c>
      <c r="F360" s="1" t="str">
        <f t="array" ref="F360">XLOOKUP(C360,customers!A359:A1359, customers!B359:B1359,0)</f>
        <v>Tomasina Cotmore</v>
      </c>
      <c r="G360" s="1" t="str">
        <f t="array" ref="G360">IF(XLOOKUP(C361,customers!$A$1:$A$1001,customers!$C$1:$C$1001,0)=0,"",XLOOKUP(C361,customers!$A$1:$A$1001,customers!$C$1:$C$1001,0))</f>
        <v>yskipsey9z@spotify.com</v>
      </c>
      <c r="H360" s="1" t="str">
        <f t="array" ref="H360">XLOOKUP(C360,customers!$A$1:$A$1001,customers!$F$1:$F$1001,0)</f>
        <v>Reston</v>
      </c>
    </row>
    <row r="361" ht="15.75" customHeight="1">
      <c r="A361" s="1" t="s">
        <v>737</v>
      </c>
      <c r="B361" s="2">
        <v>43563.0</v>
      </c>
      <c r="C361" s="1" t="s">
        <v>738</v>
      </c>
      <c r="D361" s="3" t="s">
        <v>195</v>
      </c>
      <c r="E361" s="1">
        <v>6.0</v>
      </c>
      <c r="F361" s="1" t="str">
        <f t="array" ref="F361">XLOOKUP(C361,customers!A360:A1360, customers!B360:B1360,0)</f>
        <v>Yuma Skipsey</v>
      </c>
      <c r="G361" s="1" t="str">
        <f t="array" ref="G361">IF(XLOOKUP(C362,customers!$A$1:$A$1001,customers!$C$1:$C$1001,0)=0,"",XLOOKUP(C362,customers!$A$1:$A$1001,customers!$C$1:$C$1001,0))</f>
        <v>ncorpsa0@gmpg.org</v>
      </c>
      <c r="H361" s="1" t="str">
        <f t="array" ref="H361">XLOOKUP(C361,customers!$A$1:$A$1001,customers!$F$1:$F$1001,0)</f>
        <v>Charlton</v>
      </c>
    </row>
    <row r="362" ht="15.75" customHeight="1">
      <c r="A362" s="1" t="s">
        <v>739</v>
      </c>
      <c r="B362" s="2">
        <v>44058.0</v>
      </c>
      <c r="C362" s="1" t="s">
        <v>740</v>
      </c>
      <c r="D362" s="3" t="s">
        <v>48</v>
      </c>
      <c r="E362" s="1">
        <v>2.0</v>
      </c>
      <c r="F362" s="1" t="str">
        <f t="array" ref="F362">XLOOKUP(C362,customers!A361:A1361, customers!B361:B1361,0)</f>
        <v>Nicko Corps</v>
      </c>
      <c r="G362" s="1" t="str">
        <f t="array" ref="G362">IF(XLOOKUP(C363,customers!$A$1:$A$1001,customers!$C$1:$C$1001,0)=0,"",XLOOKUP(C363,customers!$A$1:$A$1001,customers!$C$1:$C$1001,0))</f>
        <v>ncorpsa0@gmpg.org</v>
      </c>
      <c r="H362" s="1" t="str">
        <f t="array" ref="H362">XLOOKUP(C362,customers!$A$1:$A$1001,customers!$F$1:$F$1001,0)</f>
        <v>Columbia</v>
      </c>
    </row>
    <row r="363" ht="15.75" customHeight="1">
      <c r="A363" s="1" t="s">
        <v>739</v>
      </c>
      <c r="B363" s="2">
        <v>44058.0</v>
      </c>
      <c r="C363" s="1" t="s">
        <v>740</v>
      </c>
      <c r="D363" s="3" t="s">
        <v>35</v>
      </c>
      <c r="E363" s="1">
        <v>1.0</v>
      </c>
      <c r="F363" s="1" t="str">
        <f t="array" ref="F363">XLOOKUP(C363,customers!A362:A1362, customers!B362:B1362,0)</f>
        <v>Nicko Corps</v>
      </c>
      <c r="G363" s="1" t="str">
        <f t="array" ref="G363">IF(XLOOKUP(C364,customers!$A$1:$A$1001,customers!$C$1:$C$1001,0)=0,"",XLOOKUP(C364,customers!$A$1:$A$1001,customers!$C$1:$C$1001,0))</f>
        <v>fbabbera2@stanford.edu</v>
      </c>
      <c r="H363" s="1" t="str">
        <f t="array" ref="H363">XLOOKUP(C363,customers!$A$1:$A$1001,customers!$F$1:$F$1001,0)</f>
        <v>Columbia</v>
      </c>
    </row>
    <row r="364" ht="15.75" customHeight="1">
      <c r="A364" s="1" t="s">
        <v>741</v>
      </c>
      <c r="B364" s="2">
        <v>44686.0</v>
      </c>
      <c r="C364" s="1" t="s">
        <v>742</v>
      </c>
      <c r="D364" s="3" t="s">
        <v>150</v>
      </c>
      <c r="E364" s="1">
        <v>5.0</v>
      </c>
      <c r="F364" s="1" t="str">
        <f t="array" ref="F364">XLOOKUP(C364,customers!A363:A1363, customers!B363:B1363,0)</f>
        <v>Feliks Babber</v>
      </c>
      <c r="G364" s="1" t="str">
        <f t="array" ref="G364">IF(XLOOKUP(C365,customers!$A$1:$A$1001,customers!$C$1:$C$1001,0)=0,"",XLOOKUP(C365,customers!$A$1:$A$1001,customers!$C$1:$C$1001,0))</f>
        <v>kloxtona3@opensource.org</v>
      </c>
      <c r="H364" s="1" t="str">
        <f t="array" ref="H364">XLOOKUP(C364,customers!$A$1:$A$1001,customers!$F$1:$F$1001,0)</f>
        <v>Phoenix</v>
      </c>
    </row>
    <row r="365" ht="15.75" customHeight="1">
      <c r="A365" s="1" t="s">
        <v>743</v>
      </c>
      <c r="B365" s="2">
        <v>44282.0</v>
      </c>
      <c r="C365" s="1" t="s">
        <v>744</v>
      </c>
      <c r="D365" s="3" t="s">
        <v>109</v>
      </c>
      <c r="E365" s="1">
        <v>6.0</v>
      </c>
      <c r="F365" s="1" t="str">
        <f t="array" ref="F365">XLOOKUP(C365,customers!A364:A1364, customers!B364:B1364,0)</f>
        <v>Kaja Loxton</v>
      </c>
      <c r="G365" s="1" t="str">
        <f t="array" ref="G365">IF(XLOOKUP(C366,customers!$A$1:$A$1001,customers!$C$1:$C$1001,0)=0,"",XLOOKUP(C366,customers!$A$1:$A$1001,customers!$C$1:$C$1001,0))</f>
        <v>ptoffula4@posterous.com</v>
      </c>
      <c r="H365" s="1" t="str">
        <f t="array" ref="H365">XLOOKUP(C365,customers!$A$1:$A$1001,customers!$F$1:$F$1001,0)</f>
        <v>Miami</v>
      </c>
    </row>
    <row r="366" ht="15.75" customHeight="1">
      <c r="A366" s="1" t="s">
        <v>745</v>
      </c>
      <c r="B366" s="2">
        <v>43582.0</v>
      </c>
      <c r="C366" s="1" t="s">
        <v>746</v>
      </c>
      <c r="D366" s="3" t="s">
        <v>258</v>
      </c>
      <c r="E366" s="1">
        <v>6.0</v>
      </c>
      <c r="F366" s="1" t="str">
        <f t="array" ref="F366">XLOOKUP(C366,customers!A365:A1365, customers!B365:B1365,0)</f>
        <v>Parker Tofful</v>
      </c>
      <c r="G366" s="1" t="str">
        <f t="array" ref="G366">IF(XLOOKUP(C367,customers!$A$1:$A$1001,customers!$C$1:$C$1001,0)=0,"",XLOOKUP(C367,customers!$A$1:$A$1001,customers!$C$1:$C$1001,0))</f>
        <v>cgwinnetta5@behance.net</v>
      </c>
      <c r="H366" s="1" t="str">
        <f t="array" ref="H366">XLOOKUP(C366,customers!$A$1:$A$1001,customers!$F$1:$F$1001,0)</f>
        <v>Fresno</v>
      </c>
    </row>
    <row r="367" ht="15.75" customHeight="1">
      <c r="A367" s="1" t="s">
        <v>747</v>
      </c>
      <c r="B367" s="2">
        <v>44464.0</v>
      </c>
      <c r="C367" s="1" t="s">
        <v>748</v>
      </c>
      <c r="D367" s="3" t="s">
        <v>136</v>
      </c>
      <c r="E367" s="1">
        <v>1.0</v>
      </c>
      <c r="F367" s="1" t="str">
        <f t="array" ref="F367">XLOOKUP(C367,customers!A366:A1366, customers!B366:B1366,0)</f>
        <v>Casi Gwinnett</v>
      </c>
      <c r="G367" s="1" t="str">
        <f t="array" ref="G367">IF(XLOOKUP(C368,customers!$A$1:$A$1001,customers!$C$1:$C$1001,0)=0,"",XLOOKUP(C368,customers!$A$1:$A$1001,customers!$C$1:$C$1001,0))</f>
        <v/>
      </c>
      <c r="H367" s="1" t="str">
        <f t="array" ref="H367">XLOOKUP(C367,customers!$A$1:$A$1001,customers!$F$1:$F$1001,0)</f>
        <v>Anaheim</v>
      </c>
    </row>
    <row r="368" ht="15.75" customHeight="1">
      <c r="A368" s="1" t="s">
        <v>749</v>
      </c>
      <c r="B368" s="2">
        <v>43874.0</v>
      </c>
      <c r="C368" s="1" t="s">
        <v>750</v>
      </c>
      <c r="D368" s="3" t="s">
        <v>29</v>
      </c>
      <c r="E368" s="1">
        <v>6.0</v>
      </c>
      <c r="F368" s="1" t="str">
        <f t="array" ref="F368">XLOOKUP(C368,customers!A367:A1367, customers!B367:B1367,0)</f>
        <v>Saree Ellesworth</v>
      </c>
      <c r="G368" s="1" t="str">
        <f t="array" ref="G368">IF(XLOOKUP(C369,customers!$A$1:$A$1001,customers!$C$1:$C$1001,0)=0,"",XLOOKUP(C369,customers!$A$1:$A$1001,customers!$C$1:$C$1001,0))</f>
        <v/>
      </c>
      <c r="H368" s="1" t="str">
        <f t="array" ref="H368">XLOOKUP(C368,customers!$A$1:$A$1001,customers!$F$1:$F$1001,0)</f>
        <v>Newport News</v>
      </c>
    </row>
    <row r="369" ht="15.75" customHeight="1">
      <c r="A369" s="1" t="s">
        <v>751</v>
      </c>
      <c r="B369" s="2">
        <v>44393.0</v>
      </c>
      <c r="C369" s="1" t="s">
        <v>752</v>
      </c>
      <c r="D369" s="3" t="s">
        <v>90</v>
      </c>
      <c r="E369" s="1">
        <v>2.0</v>
      </c>
      <c r="F369" s="1" t="str">
        <f t="array" ref="F369">XLOOKUP(C369,customers!A368:A1368, customers!B368:B1368,0)</f>
        <v>Silvio Iorizzi</v>
      </c>
      <c r="G369" s="1" t="str">
        <f t="array" ref="G369">IF(XLOOKUP(C370,customers!$A$1:$A$1001,customers!$C$1:$C$1001,0)=0,"",XLOOKUP(C370,customers!$A$1:$A$1001,customers!$C$1:$C$1001,0))</f>
        <v>lflaoniera8@wordpress.org</v>
      </c>
      <c r="H369" s="1" t="str">
        <f t="array" ref="H369">XLOOKUP(C369,customers!$A$1:$A$1001,customers!$F$1:$F$1001,0)</f>
        <v>Spartanburg</v>
      </c>
    </row>
    <row r="370" ht="15.75" customHeight="1">
      <c r="A370" s="1" t="s">
        <v>753</v>
      </c>
      <c r="B370" s="2">
        <v>44692.0</v>
      </c>
      <c r="C370" s="1" t="s">
        <v>754</v>
      </c>
      <c r="D370" s="3" t="s">
        <v>125</v>
      </c>
      <c r="E370" s="1">
        <v>2.0</v>
      </c>
      <c r="F370" s="1" t="str">
        <f t="array" ref="F370">XLOOKUP(C370,customers!A369:A1369, customers!B369:B1369,0)</f>
        <v>Leesa Flaonier</v>
      </c>
      <c r="G370" s="1" t="str">
        <f t="array" ref="G370">IF(XLOOKUP(C371,customers!$A$1:$A$1001,customers!$C$1:$C$1001,0)=0,"",XLOOKUP(C371,customers!$A$1:$A$1001,customers!$C$1:$C$1001,0))</f>
        <v/>
      </c>
      <c r="H370" s="1" t="str">
        <f t="array" ref="H370">XLOOKUP(C370,customers!$A$1:$A$1001,customers!$F$1:$F$1001,0)</f>
        <v>Staten Island</v>
      </c>
    </row>
    <row r="371" ht="15.75" customHeight="1">
      <c r="A371" s="1" t="s">
        <v>755</v>
      </c>
      <c r="B371" s="2">
        <v>43500.0</v>
      </c>
      <c r="C371" s="1" t="s">
        <v>756</v>
      </c>
      <c r="D371" s="3" t="s">
        <v>189</v>
      </c>
      <c r="E371" s="1">
        <v>1.0</v>
      </c>
      <c r="F371" s="1" t="str">
        <f t="array" ref="F371">XLOOKUP(C371,customers!A370:A1370, customers!B370:B1370,0)</f>
        <v>Abba Pummell</v>
      </c>
      <c r="G371" s="1" t="str">
        <f t="array" ref="G371">IF(XLOOKUP(C372,customers!$A$1:$A$1001,customers!$C$1:$C$1001,0)=0,"",XLOOKUP(C372,customers!$A$1:$A$1001,customers!$C$1:$C$1001,0))</f>
        <v>ccatchesideaa@macromedia.com</v>
      </c>
      <c r="H371" s="1" t="str">
        <f t="array" ref="H371">XLOOKUP(C371,customers!$A$1:$A$1001,customers!$F$1:$F$1001,0)</f>
        <v>Las Vegas</v>
      </c>
    </row>
    <row r="372" ht="15.75" customHeight="1">
      <c r="A372" s="1" t="s">
        <v>757</v>
      </c>
      <c r="B372" s="2">
        <v>43501.0</v>
      </c>
      <c r="C372" s="1" t="s">
        <v>758</v>
      </c>
      <c r="D372" s="3" t="s">
        <v>258</v>
      </c>
      <c r="E372" s="1">
        <v>2.0</v>
      </c>
      <c r="F372" s="1" t="str">
        <f t="array" ref="F372">XLOOKUP(C372,customers!A371:A1371, customers!B371:B1371,0)</f>
        <v>Corinna Catcheside</v>
      </c>
      <c r="G372" s="1" t="str">
        <f t="array" ref="G372">IF(XLOOKUP(C373,customers!$A$1:$A$1001,customers!$C$1:$C$1001,0)=0,"",XLOOKUP(C373,customers!$A$1:$A$1001,customers!$C$1:$C$1001,0))</f>
        <v>cgibbonsonab@accuweather.com</v>
      </c>
      <c r="H372" s="1" t="str">
        <f t="array" ref="H372">XLOOKUP(C372,customers!$A$1:$A$1001,customers!$F$1:$F$1001,0)</f>
        <v>Salt Lake City</v>
      </c>
    </row>
    <row r="373" ht="15.75" customHeight="1">
      <c r="A373" s="1" t="s">
        <v>759</v>
      </c>
      <c r="B373" s="2">
        <v>44705.0</v>
      </c>
      <c r="C373" s="1" t="s">
        <v>760</v>
      </c>
      <c r="D373" s="3" t="s">
        <v>205</v>
      </c>
      <c r="E373" s="1">
        <v>6.0</v>
      </c>
      <c r="F373" s="1" t="str">
        <f t="array" ref="F373">XLOOKUP(C373,customers!A372:A1372, customers!B372:B1372,0)</f>
        <v>Cortney Gibbonson</v>
      </c>
      <c r="G373" s="1" t="str">
        <f t="array" ref="G373">IF(XLOOKUP(C374,customers!$A$1:$A$1001,customers!$C$1:$C$1001,0)=0,"",XLOOKUP(C374,customers!$A$1:$A$1001,customers!$C$1:$C$1001,0))</f>
        <v>tfarraac@behance.net</v>
      </c>
      <c r="H373" s="1" t="str">
        <f t="array" ref="H373">XLOOKUP(C373,customers!$A$1:$A$1001,customers!$F$1:$F$1001,0)</f>
        <v>Seattle</v>
      </c>
    </row>
    <row r="374" ht="15.75" customHeight="1">
      <c r="A374" s="1" t="s">
        <v>761</v>
      </c>
      <c r="B374" s="2">
        <v>44108.0</v>
      </c>
      <c r="C374" s="1" t="s">
        <v>762</v>
      </c>
      <c r="D374" s="3" t="s">
        <v>170</v>
      </c>
      <c r="E374" s="1">
        <v>6.0</v>
      </c>
      <c r="F374" s="1" t="str">
        <f t="array" ref="F374">XLOOKUP(C374,customers!A373:A1373, customers!B373:B1373,0)</f>
        <v>Terri Farra</v>
      </c>
      <c r="G374" s="1" t="str">
        <f t="array" ref="G374">IF(XLOOKUP(C375,customers!$A$1:$A$1001,customers!$C$1:$C$1001,0)=0,"",XLOOKUP(C375,customers!$A$1:$A$1001,customers!$C$1:$C$1001,0))</f>
        <v/>
      </c>
      <c r="H374" s="1" t="str">
        <f t="array" ref="H374">XLOOKUP(C374,customers!$A$1:$A$1001,customers!$F$1:$F$1001,0)</f>
        <v>Odessa</v>
      </c>
    </row>
    <row r="375" ht="15.75" customHeight="1">
      <c r="A375" s="1" t="s">
        <v>763</v>
      </c>
      <c r="B375" s="2">
        <v>44742.0</v>
      </c>
      <c r="C375" s="1" t="s">
        <v>764</v>
      </c>
      <c r="D375" s="3" t="s">
        <v>85</v>
      </c>
      <c r="E375" s="1">
        <v>3.0</v>
      </c>
      <c r="F375" s="1" t="str">
        <f t="array" ref="F375">XLOOKUP(C375,customers!A374:A1374, customers!B374:B1374,0)</f>
        <v>Corney Curme</v>
      </c>
      <c r="G375" s="1" t="str">
        <f t="array" ref="G375">IF(XLOOKUP(C376,customers!$A$1:$A$1001,customers!$C$1:$C$1001,0)=0,"",XLOOKUP(C376,customers!$A$1:$A$1001,customers!$C$1:$C$1001,0))</f>
        <v>gbamfieldae@yellowpages.com</v>
      </c>
      <c r="H375" s="1" t="str">
        <f t="array" ref="H375">XLOOKUP(C375,customers!$A$1:$A$1001,customers!$F$1:$F$1001,0)</f>
        <v>Castleknock</v>
      </c>
    </row>
    <row r="376" ht="15.75" customHeight="1">
      <c r="A376" s="1" t="s">
        <v>765</v>
      </c>
      <c r="B376" s="2">
        <v>44125.0</v>
      </c>
      <c r="C376" s="1" t="s">
        <v>766</v>
      </c>
      <c r="D376" s="3" t="s">
        <v>96</v>
      </c>
      <c r="E376" s="1">
        <v>4.0</v>
      </c>
      <c r="F376" s="1" t="str">
        <f t="array" ref="F376">XLOOKUP(C376,customers!A375:A1375, customers!B375:B1375,0)</f>
        <v>Gothart Bamfield</v>
      </c>
      <c r="G376" s="1" t="str">
        <f t="array" ref="G376">IF(XLOOKUP(C377,customers!$A$1:$A$1001,customers!$C$1:$C$1001,0)=0,"",XLOOKUP(C377,customers!$A$1:$A$1001,customers!$C$1:$C$1001,0))</f>
        <v>whollingdaleaf@about.me</v>
      </c>
      <c r="H376" s="1" t="str">
        <f t="array" ref="H376">XLOOKUP(C376,customers!$A$1:$A$1001,customers!$F$1:$F$1001,0)</f>
        <v>Irving</v>
      </c>
    </row>
    <row r="377" ht="15.75" customHeight="1">
      <c r="A377" s="1" t="s">
        <v>767</v>
      </c>
      <c r="B377" s="2">
        <v>44120.0</v>
      </c>
      <c r="C377" s="1" t="s">
        <v>768</v>
      </c>
      <c r="D377" s="3" t="s">
        <v>57</v>
      </c>
      <c r="E377" s="1">
        <v>2.0</v>
      </c>
      <c r="F377" s="1" t="str">
        <f t="array" ref="F377">XLOOKUP(C377,customers!A376:A1376, customers!B376:B1376,0)</f>
        <v>Waylin Hollingdale</v>
      </c>
      <c r="G377" s="1" t="str">
        <f t="array" ref="G377">IF(XLOOKUP(C378,customers!$A$1:$A$1001,customers!$C$1:$C$1001,0)=0,"",XLOOKUP(C378,customers!$A$1:$A$1001,customers!$C$1:$C$1001,0))</f>
        <v>jdeag@xrea.com</v>
      </c>
      <c r="H377" s="1" t="str">
        <f t="array" ref="H377">XLOOKUP(C377,customers!$A$1:$A$1001,customers!$F$1:$F$1001,0)</f>
        <v>Dayton</v>
      </c>
    </row>
    <row r="378" ht="15.75" customHeight="1">
      <c r="A378" s="1" t="s">
        <v>769</v>
      </c>
      <c r="B378" s="2">
        <v>44097.0</v>
      </c>
      <c r="C378" s="1" t="s">
        <v>770</v>
      </c>
      <c r="D378" s="3" t="s">
        <v>35</v>
      </c>
      <c r="E378" s="1">
        <v>1.0</v>
      </c>
      <c r="F378" s="1" t="str">
        <f t="array" ref="F378">XLOOKUP(C378,customers!A377:A1377, customers!B377:B1377,0)</f>
        <v>Judd De Leek</v>
      </c>
      <c r="G378" s="1" t="str">
        <f t="array" ref="G378">IF(XLOOKUP(C379,customers!$A$1:$A$1001,customers!$C$1:$C$1001,0)=0,"",XLOOKUP(C379,customers!$A$1:$A$1001,customers!$C$1:$C$1001,0))</f>
        <v>vskulletah@tinyurl.com</v>
      </c>
      <c r="H378" s="1" t="str">
        <f t="array" ref="H378">XLOOKUP(C378,customers!$A$1:$A$1001,customers!$F$1:$F$1001,0)</f>
        <v>Grand Rapids</v>
      </c>
    </row>
    <row r="379" ht="15.75" customHeight="1">
      <c r="A379" s="1" t="s">
        <v>771</v>
      </c>
      <c r="B379" s="2">
        <v>43532.0</v>
      </c>
      <c r="C379" s="1" t="s">
        <v>772</v>
      </c>
      <c r="D379" s="3" t="s">
        <v>114</v>
      </c>
      <c r="E379" s="1">
        <v>3.0</v>
      </c>
      <c r="F379" s="1" t="str">
        <f t="array" ref="F379">XLOOKUP(C379,customers!A378:A1378, customers!B378:B1378,0)</f>
        <v>Vanya Skullet</v>
      </c>
      <c r="G379" s="1" t="str">
        <f t="array" ref="G379">IF(XLOOKUP(C380,customers!$A$1:$A$1001,customers!$C$1:$C$1001,0)=0,"",XLOOKUP(C380,customers!$A$1:$A$1001,customers!$C$1:$C$1001,0))</f>
        <v>jrudeforthai@wunderground.com</v>
      </c>
      <c r="H379" s="1" t="str">
        <f t="array" ref="H379">XLOOKUP(C379,customers!$A$1:$A$1001,customers!$F$1:$F$1001,0)</f>
        <v>Balally</v>
      </c>
    </row>
    <row r="380" ht="15.75" customHeight="1">
      <c r="A380" s="1" t="s">
        <v>773</v>
      </c>
      <c r="B380" s="2">
        <v>44377.0</v>
      </c>
      <c r="C380" s="1" t="s">
        <v>774</v>
      </c>
      <c r="D380" s="3" t="s">
        <v>205</v>
      </c>
      <c r="E380" s="1">
        <v>3.0</v>
      </c>
      <c r="F380" s="1" t="str">
        <f t="array" ref="F380">XLOOKUP(C380,customers!A379:A1379, customers!B379:B1379,0)</f>
        <v>Jany Rudeforth</v>
      </c>
      <c r="G380" s="1" t="str">
        <f t="array" ref="G380">IF(XLOOKUP(C381,customers!$A$1:$A$1001,customers!$C$1:$C$1001,0)=0,"",XLOOKUP(C381,customers!$A$1:$A$1001,customers!$C$1:$C$1001,0))</f>
        <v>atomaszewskiaj@answers.com</v>
      </c>
      <c r="H380" s="1" t="str">
        <f t="array" ref="H380">XLOOKUP(C380,customers!$A$1:$A$1001,customers!$F$1:$F$1001,0)</f>
        <v>Tullyallen</v>
      </c>
    </row>
    <row r="381" ht="15.75" customHeight="1">
      <c r="A381" s="1" t="s">
        <v>775</v>
      </c>
      <c r="B381" s="2">
        <v>43690.0</v>
      </c>
      <c r="C381" s="1" t="s">
        <v>776</v>
      </c>
      <c r="D381" s="3" t="s">
        <v>170</v>
      </c>
      <c r="E381" s="1">
        <v>6.0</v>
      </c>
      <c r="F381" s="1" t="str">
        <f t="array" ref="F381">XLOOKUP(C381,customers!A380:A1380, customers!B380:B1380,0)</f>
        <v>Ashbey Tomaszewski</v>
      </c>
      <c r="G381" s="1" t="str">
        <f t="array" ref="G381">IF(XLOOKUP(C382,customers!$A$1:$A$1001,customers!$C$1:$C$1001,0)=0,"",XLOOKUP(C382,customers!$A$1:$A$1001,customers!$C$1:$C$1001,0))</f>
        <v/>
      </c>
      <c r="H381" s="1" t="str">
        <f t="array" ref="H381">XLOOKUP(C381,customers!$A$1:$A$1001,customers!$F$1:$F$1001,0)</f>
        <v>Sutton</v>
      </c>
    </row>
    <row r="382" ht="15.75" customHeight="1">
      <c r="A382" s="1" t="s">
        <v>777</v>
      </c>
      <c r="B382" s="2">
        <v>44249.0</v>
      </c>
      <c r="C382" s="1" t="s">
        <v>677</v>
      </c>
      <c r="D382" s="3" t="s">
        <v>136</v>
      </c>
      <c r="E382" s="1">
        <v>3.0</v>
      </c>
      <c r="F382" s="1">
        <f t="array" ref="F382">XLOOKUP(C382,customers!A381:A1381, customers!B381:B1381,0)</f>
        <v>0</v>
      </c>
      <c r="G382" s="1" t="str">
        <f t="array" ref="G382">IF(XLOOKUP(C383,customers!$A$1:$A$1001,customers!$C$1:$C$1001,0)=0,"",XLOOKUP(C383,customers!$A$1:$A$1001,customers!$C$1:$C$1001,0))</f>
        <v>pbessal@qq.com</v>
      </c>
      <c r="H382" s="1" t="str">
        <f t="array" ref="H382">XLOOKUP(C382,customers!$A$1:$A$1001,customers!$F$1:$F$1001,0)</f>
        <v>Birmingham</v>
      </c>
    </row>
    <row r="383" ht="15.75" customHeight="1">
      <c r="A383" s="1" t="s">
        <v>778</v>
      </c>
      <c r="B383" s="2">
        <v>44646.0</v>
      </c>
      <c r="C383" s="1" t="s">
        <v>779</v>
      </c>
      <c r="D383" s="3" t="s">
        <v>67</v>
      </c>
      <c r="E383" s="1">
        <v>5.0</v>
      </c>
      <c r="F383" s="1" t="str">
        <f t="array" ref="F383">XLOOKUP(C383,customers!A382:A1382, customers!B382:B1382,0)</f>
        <v>Pren Bess</v>
      </c>
      <c r="G383" s="1" t="str">
        <f t="array" ref="G383">IF(XLOOKUP(C384,customers!$A$1:$A$1001,customers!$C$1:$C$1001,0)=0,"",XLOOKUP(C384,customers!$A$1:$A$1001,customers!$C$1:$C$1001,0))</f>
        <v>ewindressam@marketwatch.com</v>
      </c>
      <c r="H383" s="1" t="str">
        <f t="array" ref="H383">XLOOKUP(C383,customers!$A$1:$A$1001,customers!$F$1:$F$1001,0)</f>
        <v>Los Angeles</v>
      </c>
    </row>
    <row r="384" ht="15.75" customHeight="1">
      <c r="A384" s="1" t="s">
        <v>780</v>
      </c>
      <c r="B384" s="2">
        <v>43840.0</v>
      </c>
      <c r="C384" s="1" t="s">
        <v>781</v>
      </c>
      <c r="D384" s="3" t="s">
        <v>29</v>
      </c>
      <c r="E384" s="1">
        <v>3.0</v>
      </c>
      <c r="F384" s="1" t="str">
        <f t="array" ref="F384">XLOOKUP(C384,customers!A383:A1383, customers!B383:B1383,0)</f>
        <v>Elka Windress</v>
      </c>
      <c r="G384" s="1" t="str">
        <f t="array" ref="G384">IF(XLOOKUP(C385,customers!$A$1:$A$1001,customers!$C$1:$C$1001,0)=0,"",XLOOKUP(C385,customers!$A$1:$A$1001,customers!$C$1:$C$1001,0))</f>
        <v/>
      </c>
      <c r="H384" s="1" t="str">
        <f t="array" ref="H384">XLOOKUP(C384,customers!$A$1:$A$1001,customers!$F$1:$F$1001,0)</f>
        <v>Baltimore</v>
      </c>
    </row>
    <row r="385" ht="15.75" customHeight="1">
      <c r="A385" s="1" t="s">
        <v>782</v>
      </c>
      <c r="B385" s="2">
        <v>43586.0</v>
      </c>
      <c r="C385" s="1" t="s">
        <v>783</v>
      </c>
      <c r="D385" s="3" t="s">
        <v>189</v>
      </c>
      <c r="E385" s="1">
        <v>6.0</v>
      </c>
      <c r="F385" s="1" t="str">
        <f t="array" ref="F385">XLOOKUP(C385,customers!A384:A1384, customers!B384:B1384,0)</f>
        <v>Marty Kidstoun</v>
      </c>
      <c r="G385" s="1" t="str">
        <f t="array" ref="G385">IF(XLOOKUP(C386,customers!$A$1:$A$1001,customers!$C$1:$C$1001,0)=0,"",XLOOKUP(C386,customers!$A$1:$A$1001,customers!$C$1:$C$1001,0))</f>
        <v/>
      </c>
      <c r="H385" s="1" t="str">
        <f t="array" ref="H385">XLOOKUP(C385,customers!$A$1:$A$1001,customers!$F$1:$F$1001,0)</f>
        <v>Harrisburg</v>
      </c>
    </row>
    <row r="386" ht="15.75" customHeight="1">
      <c r="A386" s="1" t="s">
        <v>784</v>
      </c>
      <c r="B386" s="2">
        <v>43870.0</v>
      </c>
      <c r="C386" s="1" t="s">
        <v>785</v>
      </c>
      <c r="D386" s="3" t="s">
        <v>217</v>
      </c>
      <c r="E386" s="1">
        <v>4.0</v>
      </c>
      <c r="F386" s="1" t="str">
        <f t="array" ref="F386">XLOOKUP(C386,customers!A385:A1385, customers!B385:B1385,0)</f>
        <v>Nickey Dimbleby</v>
      </c>
      <c r="G386" s="1" t="str">
        <f t="array" ref="G386">IF(XLOOKUP(C387,customers!$A$1:$A$1001,customers!$C$1:$C$1001,0)=0,"",XLOOKUP(C387,customers!$A$1:$A$1001,customers!$C$1:$C$1001,0))</f>
        <v>vbaumadierap@google.cn</v>
      </c>
      <c r="H386" s="1" t="str">
        <f t="array" ref="H386">XLOOKUP(C386,customers!$A$1:$A$1001,customers!$F$1:$F$1001,0)</f>
        <v>Dallas</v>
      </c>
    </row>
    <row r="387" ht="15.75" customHeight="1">
      <c r="A387" s="1" t="s">
        <v>786</v>
      </c>
      <c r="B387" s="2">
        <v>44559.0</v>
      </c>
      <c r="C387" s="1" t="s">
        <v>787</v>
      </c>
      <c r="D387" s="3" t="s">
        <v>91</v>
      </c>
      <c r="E387" s="1">
        <v>5.0</v>
      </c>
      <c r="F387" s="1" t="str">
        <f t="array" ref="F387">XLOOKUP(C387,customers!A386:A1386, customers!B386:B1386,0)</f>
        <v>Virgil Baumadier</v>
      </c>
      <c r="G387" s="1" t="str">
        <f t="array" ref="G387">IF(XLOOKUP(C388,customers!$A$1:$A$1001,customers!$C$1:$C$1001,0)=0,"",XLOOKUP(C388,customers!$A$1:$A$1001,customers!$C$1:$C$1001,0))</f>
        <v/>
      </c>
      <c r="H387" s="1" t="str">
        <f t="array" ref="H387">XLOOKUP(C387,customers!$A$1:$A$1001,customers!$F$1:$F$1001,0)</f>
        <v>Kansas City</v>
      </c>
    </row>
    <row r="388" ht="15.75" customHeight="1">
      <c r="A388" s="1" t="s">
        <v>788</v>
      </c>
      <c r="B388" s="2">
        <v>44083.0</v>
      </c>
      <c r="C388" s="1" t="s">
        <v>789</v>
      </c>
      <c r="D388" s="3" t="s">
        <v>67</v>
      </c>
      <c r="E388" s="1">
        <v>6.0</v>
      </c>
      <c r="F388" s="1" t="str">
        <f t="array" ref="F388">XLOOKUP(C388,customers!A387:A1387, customers!B387:B1387,0)</f>
        <v>Lenore Messenbird</v>
      </c>
      <c r="G388" s="1" t="str">
        <f t="array" ref="G388">IF(XLOOKUP(C389,customers!$A$1:$A$1001,customers!$C$1:$C$1001,0)=0,"",XLOOKUP(C389,customers!$A$1:$A$1001,customers!$C$1:$C$1001,0))</f>
        <v>sweldsar@wired.com</v>
      </c>
      <c r="H388" s="1" t="str">
        <f t="array" ref="H388">XLOOKUP(C388,customers!$A$1:$A$1001,customers!$F$1:$F$1001,0)</f>
        <v>Springfield</v>
      </c>
    </row>
    <row r="389" ht="15.75" customHeight="1">
      <c r="A389" s="1" t="s">
        <v>790</v>
      </c>
      <c r="B389" s="2">
        <v>44455.0</v>
      </c>
      <c r="C389" s="1" t="s">
        <v>791</v>
      </c>
      <c r="D389" s="3" t="s">
        <v>150</v>
      </c>
      <c r="E389" s="1">
        <v>5.0</v>
      </c>
      <c r="F389" s="1" t="str">
        <f t="array" ref="F389">XLOOKUP(C389,customers!A388:A1388, customers!B388:B1388,0)</f>
        <v>Shirleen Welds</v>
      </c>
      <c r="G389" s="1" t="str">
        <f t="array" ref="G389">IF(XLOOKUP(C390,customers!$A$1:$A$1001,customers!$C$1:$C$1001,0)=0,"",XLOOKUP(C390,customers!$A$1:$A$1001,customers!$C$1:$C$1001,0))</f>
        <v>msarvaras@artisteer.com</v>
      </c>
      <c r="H389" s="1" t="str">
        <f t="array" ref="H389">XLOOKUP(C389,customers!$A$1:$A$1001,customers!$F$1:$F$1001,0)</f>
        <v>New Haven</v>
      </c>
    </row>
    <row r="390" ht="15.75" customHeight="1">
      <c r="A390" s="1" t="s">
        <v>792</v>
      </c>
      <c r="B390" s="2">
        <v>44130.0</v>
      </c>
      <c r="C390" s="1" t="s">
        <v>793</v>
      </c>
      <c r="D390" s="3" t="s">
        <v>51</v>
      </c>
      <c r="E390" s="1">
        <v>3.0</v>
      </c>
      <c r="F390" s="1" t="str">
        <f t="array" ref="F390">XLOOKUP(C390,customers!A389:A1389, customers!B389:B1389,0)</f>
        <v>Maisie Sarvar</v>
      </c>
      <c r="G390" s="1" t="str">
        <f t="array" ref="G390">IF(XLOOKUP(C391,customers!$A$1:$A$1001,customers!$C$1:$C$1001,0)=0,"",XLOOKUP(C391,customers!$A$1:$A$1001,customers!$C$1:$C$1001,0))</f>
        <v>ahavickat@nsw.gov.au</v>
      </c>
      <c r="H390" s="1" t="str">
        <f t="array" ref="H390">XLOOKUP(C390,customers!$A$1:$A$1001,customers!$F$1:$F$1001,0)</f>
        <v>Lawrenceville</v>
      </c>
    </row>
    <row r="391" ht="15.75" customHeight="1">
      <c r="A391" s="1" t="s">
        <v>794</v>
      </c>
      <c r="B391" s="2">
        <v>43536.0</v>
      </c>
      <c r="C391" s="1" t="s">
        <v>795</v>
      </c>
      <c r="D391" s="3" t="s">
        <v>136</v>
      </c>
      <c r="E391" s="1">
        <v>3.0</v>
      </c>
      <c r="F391" s="1" t="str">
        <f t="array" ref="F391">XLOOKUP(C391,customers!A390:A1390, customers!B390:B1390,0)</f>
        <v>Andrej Havick</v>
      </c>
      <c r="G391" s="1" t="str">
        <f t="array" ref="G391">IF(XLOOKUP(C392,customers!$A$1:$A$1001,customers!$C$1:$C$1001,0)=0,"",XLOOKUP(C392,customers!$A$1:$A$1001,customers!$C$1:$C$1001,0))</f>
        <v>sdivinyau@ask.com</v>
      </c>
      <c r="H391" s="1" t="str">
        <f t="array" ref="H391">XLOOKUP(C391,customers!$A$1:$A$1001,customers!$F$1:$F$1001,0)</f>
        <v>Asheville</v>
      </c>
    </row>
    <row r="392" ht="15.75" customHeight="1">
      <c r="A392" s="1" t="s">
        <v>796</v>
      </c>
      <c r="B392" s="2">
        <v>44245.0</v>
      </c>
      <c r="C392" s="1" t="s">
        <v>797</v>
      </c>
      <c r="D392" s="3" t="s">
        <v>29</v>
      </c>
      <c r="E392" s="1">
        <v>2.0</v>
      </c>
      <c r="F392" s="1" t="str">
        <f t="array" ref="F392">XLOOKUP(C392,customers!A391:A1391, customers!B391:B1391,0)</f>
        <v>Sloan Diviny</v>
      </c>
      <c r="G392" s="1" t="str">
        <f t="array" ref="G392">IF(XLOOKUP(C393,customers!$A$1:$A$1001,customers!$C$1:$C$1001,0)=0,"",XLOOKUP(C393,customers!$A$1:$A$1001,customers!$C$1:$C$1001,0))</f>
        <v>inorquoyav@businessweek.com</v>
      </c>
      <c r="H392" s="1" t="str">
        <f t="array" ref="H392">XLOOKUP(C392,customers!$A$1:$A$1001,customers!$F$1:$F$1001,0)</f>
        <v>Saint Paul</v>
      </c>
    </row>
    <row r="393" ht="15.75" customHeight="1">
      <c r="A393" s="1" t="s">
        <v>798</v>
      </c>
      <c r="B393" s="2">
        <v>44133.0</v>
      </c>
      <c r="C393" s="1" t="s">
        <v>799</v>
      </c>
      <c r="D393" s="3" t="s">
        <v>80</v>
      </c>
      <c r="E393" s="1">
        <v>2.0</v>
      </c>
      <c r="F393" s="1" t="str">
        <f t="array" ref="F393">XLOOKUP(C393,customers!A392:A1392, customers!B392:B1392,0)</f>
        <v>Itch Norquoy</v>
      </c>
      <c r="G393" s="1" t="str">
        <f t="array" ref="G393">IF(XLOOKUP(C394,customers!$A$1:$A$1001,customers!$C$1:$C$1001,0)=0,"",XLOOKUP(C394,customers!$A$1:$A$1001,customers!$C$1:$C$1001,0))</f>
        <v>aiddisonaw@usa.gov</v>
      </c>
      <c r="H393" s="1" t="str">
        <f t="array" ref="H393">XLOOKUP(C393,customers!$A$1:$A$1001,customers!$F$1:$F$1001,0)</f>
        <v>Minneapolis</v>
      </c>
    </row>
    <row r="394" ht="15.75" customHeight="1">
      <c r="A394" s="1" t="s">
        <v>800</v>
      </c>
      <c r="B394" s="2">
        <v>44445.0</v>
      </c>
      <c r="C394" s="1" t="s">
        <v>801</v>
      </c>
      <c r="D394" s="3" t="s">
        <v>150</v>
      </c>
      <c r="E394" s="1">
        <v>6.0</v>
      </c>
      <c r="F394" s="1" t="str">
        <f t="array" ref="F394">XLOOKUP(C394,customers!A393:A1393, customers!B393:B1393,0)</f>
        <v>Anson Iddison</v>
      </c>
      <c r="G394" s="1" t="str">
        <f t="array" ref="G394">IF(XLOOKUP(C395,customers!$A$1:$A$1001,customers!$C$1:$C$1001,0)=0,"",XLOOKUP(C395,customers!$A$1:$A$1001,customers!$C$1:$C$1001,0))</f>
        <v>aiddisonaw@usa.gov</v>
      </c>
      <c r="H394" s="1" t="str">
        <f t="array" ref="H394">XLOOKUP(C394,customers!$A$1:$A$1001,customers!$F$1:$F$1001,0)</f>
        <v>Santa Ana</v>
      </c>
    </row>
    <row r="395" ht="15.75" customHeight="1">
      <c r="A395" s="1" t="s">
        <v>800</v>
      </c>
      <c r="B395" s="2">
        <v>44445.0</v>
      </c>
      <c r="C395" s="1" t="s">
        <v>801</v>
      </c>
      <c r="D395" s="3" t="s">
        <v>128</v>
      </c>
      <c r="E395" s="1">
        <v>1.0</v>
      </c>
      <c r="F395" s="1" t="str">
        <f t="array" ref="F395">XLOOKUP(C395,customers!A394:A1394, customers!B394:B1394,0)</f>
        <v>Anson Iddison</v>
      </c>
      <c r="G395" s="1" t="str">
        <f t="array" ref="G395">IF(XLOOKUP(C396,customers!$A$1:$A$1001,customers!$C$1:$C$1001,0)=0,"",XLOOKUP(C396,customers!$A$1:$A$1001,customers!$C$1:$C$1001,0))</f>
        <v>rlongfielday@bluehost.com</v>
      </c>
      <c r="H395" s="1" t="str">
        <f t="array" ref="H395">XLOOKUP(C395,customers!$A$1:$A$1001,customers!$F$1:$F$1001,0)</f>
        <v>Santa Ana</v>
      </c>
    </row>
    <row r="396" ht="15.75" customHeight="1">
      <c r="A396" s="1" t="s">
        <v>802</v>
      </c>
      <c r="B396" s="2">
        <v>44083.0</v>
      </c>
      <c r="C396" s="1" t="s">
        <v>803</v>
      </c>
      <c r="D396" s="3" t="s">
        <v>23</v>
      </c>
      <c r="E396" s="1">
        <v>4.0</v>
      </c>
      <c r="F396" s="1" t="str">
        <f t="array" ref="F396">XLOOKUP(C396,customers!A395:A1395, customers!B395:B1395,0)</f>
        <v>Randal Longfield</v>
      </c>
      <c r="G396" s="1" t="str">
        <f t="array" ref="G396">IF(XLOOKUP(C397,customers!$A$1:$A$1001,customers!$C$1:$C$1001,0)=0,"",XLOOKUP(C397,customers!$A$1:$A$1001,customers!$C$1:$C$1001,0))</f>
        <v>gkislingburyaz@samsung.com</v>
      </c>
      <c r="H396" s="1" t="str">
        <f t="array" ref="H396">XLOOKUP(C396,customers!$A$1:$A$1001,customers!$F$1:$F$1001,0)</f>
        <v>Minneapolis</v>
      </c>
    </row>
    <row r="397" ht="15.75" customHeight="1">
      <c r="A397" s="1" t="s">
        <v>804</v>
      </c>
      <c r="B397" s="2">
        <v>44465.0</v>
      </c>
      <c r="C397" s="1" t="s">
        <v>805</v>
      </c>
      <c r="D397" s="3" t="s">
        <v>136</v>
      </c>
      <c r="E397" s="1">
        <v>6.0</v>
      </c>
      <c r="F397" s="1" t="str">
        <f t="array" ref="F397">XLOOKUP(C397,customers!A396:A1396, customers!B396:B1396,0)</f>
        <v>Gregorius Kislingbury</v>
      </c>
      <c r="G397" s="1" t="str">
        <f t="array" ref="G397">IF(XLOOKUP(C398,customers!$A$1:$A$1001,customers!$C$1:$C$1001,0)=0,"",XLOOKUP(C398,customers!$A$1:$A$1001,customers!$C$1:$C$1001,0))</f>
        <v>xgibbonsb0@artisteer.com</v>
      </c>
      <c r="H397" s="1" t="str">
        <f t="array" ref="H397">XLOOKUP(C397,customers!$A$1:$A$1001,customers!$F$1:$F$1001,0)</f>
        <v>Washington</v>
      </c>
    </row>
    <row r="398" ht="15.75" customHeight="1">
      <c r="A398" s="1" t="s">
        <v>806</v>
      </c>
      <c r="B398" s="2">
        <v>44140.0</v>
      </c>
      <c r="C398" s="1" t="s">
        <v>807</v>
      </c>
      <c r="D398" s="3" t="s">
        <v>205</v>
      </c>
      <c r="E398" s="1">
        <v>5.0</v>
      </c>
      <c r="F398" s="1" t="str">
        <f t="array" ref="F398">XLOOKUP(C398,customers!A397:A1397, customers!B397:B1397,0)</f>
        <v>Xenos Gibbons</v>
      </c>
      <c r="G398" s="1" t="str">
        <f t="array" ref="G398">IF(XLOOKUP(C399,customers!$A$1:$A$1001,customers!$C$1:$C$1001,0)=0,"",XLOOKUP(C399,customers!$A$1:$A$1001,customers!$C$1:$C$1001,0))</f>
        <v>fparresb1@imageshack.us</v>
      </c>
      <c r="H398" s="1" t="str">
        <f t="array" ref="H398">XLOOKUP(C398,customers!$A$1:$A$1001,customers!$F$1:$F$1001,0)</f>
        <v>San Bernardino</v>
      </c>
    </row>
    <row r="399" ht="15.75" customHeight="1">
      <c r="A399" s="1" t="s">
        <v>808</v>
      </c>
      <c r="B399" s="2">
        <v>43720.0</v>
      </c>
      <c r="C399" s="1" t="s">
        <v>809</v>
      </c>
      <c r="D399" s="3" t="s">
        <v>136</v>
      </c>
      <c r="E399" s="1">
        <v>4.0</v>
      </c>
      <c r="F399" s="1" t="str">
        <f t="array" ref="F399">XLOOKUP(C399,customers!A398:A1398, customers!B398:B1398,0)</f>
        <v>Fleur Parres</v>
      </c>
      <c r="G399" s="1" t="str">
        <f t="array" ref="G399">IF(XLOOKUP(C400,customers!$A$1:$A$1001,customers!$C$1:$C$1001,0)=0,"",XLOOKUP(C400,customers!$A$1:$A$1001,customers!$C$1:$C$1001,0))</f>
        <v>gsibrayb2@wsj.com</v>
      </c>
      <c r="H399" s="1" t="str">
        <f t="array" ref="H399">XLOOKUP(C399,customers!$A$1:$A$1001,customers!$F$1:$F$1001,0)</f>
        <v>Rochester</v>
      </c>
    </row>
    <row r="400" ht="15.75" customHeight="1">
      <c r="A400" s="1" t="s">
        <v>810</v>
      </c>
      <c r="B400" s="2">
        <v>43677.0</v>
      </c>
      <c r="C400" s="1" t="s">
        <v>811</v>
      </c>
      <c r="D400" s="3" t="s">
        <v>67</v>
      </c>
      <c r="E400" s="1">
        <v>6.0</v>
      </c>
      <c r="F400" s="1" t="str">
        <f t="array" ref="F400">XLOOKUP(C400,customers!A399:A1399, customers!B399:B1399,0)</f>
        <v>Gran Sibray</v>
      </c>
      <c r="G400" s="1" t="str">
        <f t="array" ref="G400">IF(XLOOKUP(C401,customers!$A$1:$A$1001,customers!$C$1:$C$1001,0)=0,"",XLOOKUP(C401,customers!$A$1:$A$1001,customers!$C$1:$C$1001,0))</f>
        <v>ihotchkinb3@mit.edu</v>
      </c>
      <c r="H400" s="1" t="str">
        <f t="array" ref="H400">XLOOKUP(C400,customers!$A$1:$A$1001,customers!$F$1:$F$1001,0)</f>
        <v>Vancouver</v>
      </c>
    </row>
    <row r="401" ht="15.75" customHeight="1">
      <c r="A401" s="1" t="s">
        <v>812</v>
      </c>
      <c r="B401" s="2">
        <v>43539.0</v>
      </c>
      <c r="C401" s="1" t="s">
        <v>813</v>
      </c>
      <c r="D401" s="3" t="s">
        <v>543</v>
      </c>
      <c r="E401" s="1">
        <v>6.0</v>
      </c>
      <c r="F401" s="1" t="str">
        <f t="array" ref="F401">XLOOKUP(C401,customers!A400:A1400, customers!B400:B1400,0)</f>
        <v>Ingelbert Hotchkin</v>
      </c>
      <c r="G401" s="1" t="str">
        <f t="array" ref="G401">IF(XLOOKUP(C402,customers!$A$1:$A$1001,customers!$C$1:$C$1001,0)=0,"",XLOOKUP(C402,customers!$A$1:$A$1001,customers!$C$1:$C$1001,0))</f>
        <v>nbroadberrieb4@gnu.org</v>
      </c>
      <c r="H401" s="1" t="str">
        <f t="array" ref="H401">XLOOKUP(C401,customers!$A$1:$A$1001,customers!$F$1:$F$1001,0)</f>
        <v>Preston</v>
      </c>
    </row>
    <row r="402" ht="15.75" customHeight="1">
      <c r="A402" s="1" t="s">
        <v>814</v>
      </c>
      <c r="B402" s="2">
        <v>44332.0</v>
      </c>
      <c r="C402" s="1" t="s">
        <v>815</v>
      </c>
      <c r="D402" s="3" t="s">
        <v>145</v>
      </c>
      <c r="E402" s="1">
        <v>4.0</v>
      </c>
      <c r="F402" s="1" t="str">
        <f t="array" ref="F402">XLOOKUP(C402,customers!A401:A1401, customers!B401:B1401,0)</f>
        <v>Neely Broadberrie</v>
      </c>
      <c r="G402" s="1" t="str">
        <f t="array" ref="G402">IF(XLOOKUP(C403,customers!$A$1:$A$1001,customers!$C$1:$C$1001,0)=0,"",XLOOKUP(C403,customers!$A$1:$A$1001,customers!$C$1:$C$1001,0))</f>
        <v>rpithcockb5@yellowbook.com</v>
      </c>
      <c r="H402" s="1" t="str">
        <f t="array" ref="H402">XLOOKUP(C402,customers!$A$1:$A$1001,customers!$F$1:$F$1001,0)</f>
        <v>Washington</v>
      </c>
    </row>
    <row r="403" ht="15.75" customHeight="1">
      <c r="A403" s="1" t="s">
        <v>816</v>
      </c>
      <c r="B403" s="2">
        <v>43591.0</v>
      </c>
      <c r="C403" s="1" t="s">
        <v>817</v>
      </c>
      <c r="D403" s="3" t="s">
        <v>90</v>
      </c>
      <c r="E403" s="1">
        <v>2.0</v>
      </c>
      <c r="F403" s="1" t="str">
        <f t="array" ref="F403">XLOOKUP(C403,customers!A402:A1402, customers!B402:B1402,0)</f>
        <v>Rutger Pithcock</v>
      </c>
      <c r="G403" s="1" t="str">
        <f t="array" ref="G403">IF(XLOOKUP(C404,customers!$A$1:$A$1001,customers!$C$1:$C$1001,0)=0,"",XLOOKUP(C404,customers!$A$1:$A$1001,customers!$C$1:$C$1001,0))</f>
        <v>gcroysdaleb6@nih.gov</v>
      </c>
      <c r="H403" s="1" t="str">
        <f t="array" ref="H403">XLOOKUP(C403,customers!$A$1:$A$1001,customers!$F$1:$F$1001,0)</f>
        <v>Knoxville</v>
      </c>
    </row>
    <row r="404" ht="15.75" customHeight="1">
      <c r="A404" s="1" t="s">
        <v>818</v>
      </c>
      <c r="B404" s="2">
        <v>43502.0</v>
      </c>
      <c r="C404" s="1" t="s">
        <v>819</v>
      </c>
      <c r="D404" s="3" t="s">
        <v>192</v>
      </c>
      <c r="E404" s="1">
        <v>3.0</v>
      </c>
      <c r="F404" s="1" t="str">
        <f t="array" ref="F404">XLOOKUP(C404,customers!A403:A1403, customers!B403:B1403,0)</f>
        <v>Gale Croysdale</v>
      </c>
      <c r="G404" s="1" t="str">
        <f t="array" ref="G404">IF(XLOOKUP(C405,customers!$A$1:$A$1001,customers!$C$1:$C$1001,0)=0,"",XLOOKUP(C405,customers!$A$1:$A$1001,customers!$C$1:$C$1001,0))</f>
        <v>bgozzettb7@github.com</v>
      </c>
      <c r="H404" s="1" t="str">
        <f t="array" ref="H404">XLOOKUP(C404,customers!$A$1:$A$1001,customers!$F$1:$F$1001,0)</f>
        <v>Charleston</v>
      </c>
    </row>
    <row r="405" ht="15.75" customHeight="1">
      <c r="A405" s="1" t="s">
        <v>820</v>
      </c>
      <c r="B405" s="2">
        <v>44295.0</v>
      </c>
      <c r="C405" s="1" t="s">
        <v>821</v>
      </c>
      <c r="D405" s="3" t="s">
        <v>32</v>
      </c>
      <c r="E405" s="1">
        <v>2.0</v>
      </c>
      <c r="F405" s="1" t="str">
        <f t="array" ref="F405">XLOOKUP(C405,customers!A404:A1404, customers!B404:B1404,0)</f>
        <v>Benedetto Gozzett</v>
      </c>
      <c r="G405" s="1" t="str">
        <f t="array" ref="G405">IF(XLOOKUP(C406,customers!$A$1:$A$1001,customers!$C$1:$C$1001,0)=0,"",XLOOKUP(C406,customers!$A$1:$A$1001,customers!$C$1:$C$1001,0))</f>
        <v>tcraggsb8@house.gov</v>
      </c>
      <c r="H405" s="1" t="str">
        <f t="array" ref="H405">XLOOKUP(C405,customers!$A$1:$A$1001,customers!$F$1:$F$1001,0)</f>
        <v>Dallas</v>
      </c>
    </row>
    <row r="406" ht="15.75" customHeight="1">
      <c r="A406" s="1" t="s">
        <v>822</v>
      </c>
      <c r="B406" s="2">
        <v>43971.0</v>
      </c>
      <c r="C406" s="1" t="s">
        <v>823</v>
      </c>
      <c r="D406" s="3" t="s">
        <v>40</v>
      </c>
      <c r="E406" s="1">
        <v>4.0</v>
      </c>
      <c r="F406" s="1" t="str">
        <f t="array" ref="F406">XLOOKUP(C406,customers!A405:A1405, customers!B405:B1405,0)</f>
        <v>Tania Craggs</v>
      </c>
      <c r="G406" s="1" t="str">
        <f t="array" ref="G406">IF(XLOOKUP(C407,customers!$A$1:$A$1001,customers!$C$1:$C$1001,0)=0,"",XLOOKUP(C407,customers!$A$1:$A$1001,customers!$C$1:$C$1001,0))</f>
        <v>lcullrfordb9@xing.com</v>
      </c>
      <c r="H406" s="1" t="str">
        <f t="array" ref="H406">XLOOKUP(C406,customers!$A$1:$A$1001,customers!$F$1:$F$1001,0)</f>
        <v>Whitegate</v>
      </c>
    </row>
    <row r="407" ht="15.75" customHeight="1">
      <c r="A407" s="1" t="s">
        <v>824</v>
      </c>
      <c r="B407" s="2">
        <v>44167.0</v>
      </c>
      <c r="C407" s="1" t="s">
        <v>825</v>
      </c>
      <c r="D407" s="3" t="s">
        <v>16</v>
      </c>
      <c r="E407" s="1">
        <v>3.0</v>
      </c>
      <c r="F407" s="1" t="str">
        <f t="array" ref="F407">XLOOKUP(C407,customers!A406:A1406, customers!B406:B1406,0)</f>
        <v>Leonie Cullrford</v>
      </c>
      <c r="G407" s="1" t="str">
        <f t="array" ref="G407">IF(XLOOKUP(C408,customers!$A$1:$A$1001,customers!$C$1:$C$1001,0)=0,"",XLOOKUP(C408,customers!$A$1:$A$1001,customers!$C$1:$C$1001,0))</f>
        <v>arizonba@xing.com</v>
      </c>
      <c r="H407" s="1" t="str">
        <f t="array" ref="H407">XLOOKUP(C407,customers!$A$1:$A$1001,customers!$F$1:$F$1001,0)</f>
        <v>Chico</v>
      </c>
    </row>
    <row r="408" ht="15.75" customHeight="1">
      <c r="A408" s="1" t="s">
        <v>826</v>
      </c>
      <c r="B408" s="2">
        <v>44416.0</v>
      </c>
      <c r="C408" s="1" t="s">
        <v>827</v>
      </c>
      <c r="D408" s="3" t="s">
        <v>22</v>
      </c>
      <c r="E408" s="1">
        <v>5.0</v>
      </c>
      <c r="F408" s="1" t="str">
        <f t="array" ref="F408">XLOOKUP(C408,customers!A407:A1407, customers!B407:B1407,0)</f>
        <v>Auguste Rizon</v>
      </c>
      <c r="G408" s="1" t="str">
        <f t="array" ref="G408">IF(XLOOKUP(C409,customers!$A$1:$A$1001,customers!$C$1:$C$1001,0)=0,"",XLOOKUP(C409,customers!$A$1:$A$1001,customers!$C$1:$C$1001,0))</f>
        <v/>
      </c>
      <c r="H408" s="1" t="str">
        <f t="array" ref="H408">XLOOKUP(C408,customers!$A$1:$A$1001,customers!$F$1:$F$1001,0)</f>
        <v>Little Rock</v>
      </c>
    </row>
    <row r="409" ht="15.75" customHeight="1">
      <c r="A409" s="1" t="s">
        <v>828</v>
      </c>
      <c r="B409" s="2">
        <v>44595.0</v>
      </c>
      <c r="C409" s="1" t="s">
        <v>829</v>
      </c>
      <c r="D409" s="3" t="s">
        <v>16</v>
      </c>
      <c r="E409" s="1">
        <v>6.0</v>
      </c>
      <c r="F409" s="1" t="str">
        <f t="array" ref="F409">XLOOKUP(C409,customers!A408:A1408, customers!B408:B1408,0)</f>
        <v>Lorin Guerrazzi</v>
      </c>
      <c r="G409" s="1" t="str">
        <f t="array" ref="G409">IF(XLOOKUP(C410,customers!$A$1:$A$1001,customers!$C$1:$C$1001,0)=0,"",XLOOKUP(C410,customers!$A$1:$A$1001,customers!$C$1:$C$1001,0))</f>
        <v>fmiellbc@spiegel.de</v>
      </c>
      <c r="H409" s="1" t="str">
        <f t="array" ref="H409">XLOOKUP(C409,customers!$A$1:$A$1001,customers!$F$1:$F$1001,0)</f>
        <v>Balrothery</v>
      </c>
    </row>
    <row r="410" ht="15.75" customHeight="1">
      <c r="A410" s="1" t="s">
        <v>830</v>
      </c>
      <c r="B410" s="2">
        <v>44659.0</v>
      </c>
      <c r="C410" s="1" t="s">
        <v>831</v>
      </c>
      <c r="D410" s="3" t="s">
        <v>184</v>
      </c>
      <c r="E410" s="1">
        <v>2.0</v>
      </c>
      <c r="F410" s="1" t="str">
        <f t="array" ref="F410">XLOOKUP(C410,customers!A409:A1409, customers!B409:B1409,0)</f>
        <v>Felice Miell</v>
      </c>
      <c r="G410" s="1" t="str">
        <f t="array" ref="G410">IF(XLOOKUP(C411,customers!$A$1:$A$1001,customers!$C$1:$C$1001,0)=0,"",XLOOKUP(C411,customers!$A$1:$A$1001,customers!$C$1:$C$1001,0))</f>
        <v/>
      </c>
      <c r="H410" s="1" t="str">
        <f t="array" ref="H410">XLOOKUP(C410,customers!$A$1:$A$1001,customers!$F$1:$F$1001,0)</f>
        <v>New Brunswick</v>
      </c>
    </row>
    <row r="411" ht="15.75" customHeight="1">
      <c r="A411" s="1" t="s">
        <v>832</v>
      </c>
      <c r="B411" s="2">
        <v>44203.0</v>
      </c>
      <c r="C411" s="1" t="s">
        <v>833</v>
      </c>
      <c r="D411" s="3" t="s">
        <v>145</v>
      </c>
      <c r="E411" s="1">
        <v>3.0</v>
      </c>
      <c r="F411" s="1" t="str">
        <f t="array" ref="F411">XLOOKUP(C411,customers!A410:A1410, customers!B410:B1410,0)</f>
        <v>Hamish Skeech</v>
      </c>
      <c r="G411" s="1" t="str">
        <f t="array" ref="G411">IF(XLOOKUP(C412,customers!$A$1:$A$1001,customers!$C$1:$C$1001,0)=0,"",XLOOKUP(C412,customers!$A$1:$A$1001,customers!$C$1:$C$1001,0))</f>
        <v/>
      </c>
      <c r="H411" s="1" t="str">
        <f t="array" ref="H411">XLOOKUP(C411,customers!$A$1:$A$1001,customers!$F$1:$F$1001,0)</f>
        <v>Valleymount</v>
      </c>
    </row>
    <row r="412" ht="15.75" customHeight="1">
      <c r="A412" s="1" t="s">
        <v>834</v>
      </c>
      <c r="B412" s="2">
        <v>44441.0</v>
      </c>
      <c r="C412" s="1" t="s">
        <v>835</v>
      </c>
      <c r="D412" s="3" t="s">
        <v>128</v>
      </c>
      <c r="E412" s="1">
        <v>4.0</v>
      </c>
      <c r="F412" s="1" t="str">
        <f t="array" ref="F412">XLOOKUP(C412,customers!A411:A1411, customers!B411:B1411,0)</f>
        <v>Giordano Lorenzin</v>
      </c>
      <c r="G412" s="1" t="str">
        <f t="array" ref="G412">IF(XLOOKUP(C413,customers!$A$1:$A$1001,customers!$C$1:$C$1001,0)=0,"",XLOOKUP(C413,customers!$A$1:$A$1001,customers!$C$1:$C$1001,0))</f>
        <v/>
      </c>
      <c r="H412" s="1" t="str">
        <f t="array" ref="H412">XLOOKUP(C412,customers!$A$1:$A$1001,customers!$F$1:$F$1001,0)</f>
        <v>San Francisco</v>
      </c>
    </row>
    <row r="413" ht="15.75" customHeight="1">
      <c r="A413" s="1" t="s">
        <v>836</v>
      </c>
      <c r="B413" s="2">
        <v>44504.0</v>
      </c>
      <c r="C413" s="1" t="s">
        <v>837</v>
      </c>
      <c r="D413" s="3" t="s">
        <v>109</v>
      </c>
      <c r="E413" s="1">
        <v>6.0</v>
      </c>
      <c r="F413" s="1" t="str">
        <f t="array" ref="F413">XLOOKUP(C413,customers!A412:A1412, customers!B412:B1412,0)</f>
        <v>Harwilll Bishell</v>
      </c>
      <c r="G413" s="1" t="str">
        <f t="array" ref="G413">IF(XLOOKUP(C414,customers!$A$1:$A$1001,customers!$C$1:$C$1001,0)=0,"",XLOOKUP(C414,customers!$A$1:$A$1001,customers!$C$1:$C$1001,0))</f>
        <v/>
      </c>
      <c r="H413" s="1" t="str">
        <f t="array" ref="H413">XLOOKUP(C413,customers!$A$1:$A$1001,customers!$F$1:$F$1001,0)</f>
        <v>Lafayette</v>
      </c>
    </row>
    <row r="414" ht="15.75" customHeight="1">
      <c r="A414" s="1" t="s">
        <v>838</v>
      </c>
      <c r="B414" s="2">
        <v>44410.0</v>
      </c>
      <c r="C414" s="1" t="s">
        <v>839</v>
      </c>
      <c r="D414" s="3" t="s">
        <v>74</v>
      </c>
      <c r="E414" s="1">
        <v>5.0</v>
      </c>
      <c r="F414" s="1" t="str">
        <f t="array" ref="F414">XLOOKUP(C414,customers!A413:A1413, customers!B413:B1413,0)</f>
        <v>Freeland Missenden</v>
      </c>
      <c r="G414" s="1" t="str">
        <f t="array" ref="G414">IF(XLOOKUP(C415,customers!$A$1:$A$1001,customers!$C$1:$C$1001,0)=0,"",XLOOKUP(C415,customers!$A$1:$A$1001,customers!$C$1:$C$1001,0))</f>
        <v>wspringallbh@jugem.jp</v>
      </c>
      <c r="H414" s="1" t="str">
        <f t="array" ref="H414">XLOOKUP(C414,customers!$A$1:$A$1001,customers!$F$1:$F$1001,0)</f>
        <v>San Diego</v>
      </c>
    </row>
    <row r="415" ht="15.75" customHeight="1">
      <c r="A415" s="1" t="s">
        <v>840</v>
      </c>
      <c r="B415" s="2">
        <v>43857.0</v>
      </c>
      <c r="C415" s="1" t="s">
        <v>841</v>
      </c>
      <c r="D415" s="3" t="s">
        <v>117</v>
      </c>
      <c r="E415" s="1">
        <v>1.0</v>
      </c>
      <c r="F415" s="1" t="str">
        <f t="array" ref="F415">XLOOKUP(C415,customers!A414:A1414, customers!B414:B1414,0)</f>
        <v>Waylan Springall</v>
      </c>
      <c r="G415" s="1" t="str">
        <f t="array" ref="G415">IF(XLOOKUP(C416,customers!$A$1:$A$1001,customers!$C$1:$C$1001,0)=0,"",XLOOKUP(C416,customers!$A$1:$A$1001,customers!$C$1:$C$1001,0))</f>
        <v/>
      </c>
      <c r="H415" s="1" t="str">
        <f t="array" ref="H415">XLOOKUP(C415,customers!$A$1:$A$1001,customers!$F$1:$F$1001,0)</f>
        <v>Alhambra</v>
      </c>
    </row>
    <row r="416" ht="15.75" customHeight="1">
      <c r="A416" s="1" t="s">
        <v>842</v>
      </c>
      <c r="B416" s="2">
        <v>43802.0</v>
      </c>
      <c r="C416" s="1" t="s">
        <v>843</v>
      </c>
      <c r="D416" s="3" t="s">
        <v>195</v>
      </c>
      <c r="E416" s="1">
        <v>3.0</v>
      </c>
      <c r="F416" s="1" t="str">
        <f t="array" ref="F416">XLOOKUP(C416,customers!A415:A1415, customers!B415:B1415,0)</f>
        <v>Kiri Avramow</v>
      </c>
      <c r="G416" s="1" t="str">
        <f t="array" ref="G416">IF(XLOOKUP(C417,customers!$A$1:$A$1001,customers!$C$1:$C$1001,0)=0,"",XLOOKUP(C417,customers!$A$1:$A$1001,customers!$C$1:$C$1001,0))</f>
        <v>ghawkyensbj@census.gov</v>
      </c>
      <c r="H416" s="1" t="str">
        <f t="array" ref="H416">XLOOKUP(C416,customers!$A$1:$A$1001,customers!$F$1:$F$1001,0)</f>
        <v>Tyler</v>
      </c>
    </row>
    <row r="417" ht="15.75" customHeight="1">
      <c r="A417" s="1" t="s">
        <v>844</v>
      </c>
      <c r="B417" s="2">
        <v>43683.0</v>
      </c>
      <c r="C417" s="1" t="s">
        <v>845</v>
      </c>
      <c r="D417" s="3" t="s">
        <v>175</v>
      </c>
      <c r="E417" s="1">
        <v>3.0</v>
      </c>
      <c r="F417" s="1" t="str">
        <f t="array" ref="F417">XLOOKUP(C417,customers!A416:A1416, customers!B416:B1416,0)</f>
        <v>Gregg Hawkyens</v>
      </c>
      <c r="G417" s="1" t="str">
        <f t="array" ref="G417">IF(XLOOKUP(C418,customers!$A$1:$A$1001,customers!$C$1:$C$1001,0)=0,"",XLOOKUP(C418,customers!$A$1:$A$1001,customers!$C$1:$C$1001,0))</f>
        <v/>
      </c>
      <c r="H417" s="1" t="str">
        <f t="array" ref="H417">XLOOKUP(C417,customers!$A$1:$A$1001,customers!$F$1:$F$1001,0)</f>
        <v>Lafayette</v>
      </c>
    </row>
    <row r="418" ht="15.75" customHeight="1">
      <c r="A418" s="1" t="s">
        <v>846</v>
      </c>
      <c r="B418" s="2">
        <v>43901.0</v>
      </c>
      <c r="C418" s="1" t="s">
        <v>847</v>
      </c>
      <c r="D418" s="3" t="s">
        <v>205</v>
      </c>
      <c r="E418" s="1">
        <v>3.0</v>
      </c>
      <c r="F418" s="1" t="str">
        <f t="array" ref="F418">XLOOKUP(C418,customers!A417:A1417, customers!B417:B1417,0)</f>
        <v>Reggis Pracy</v>
      </c>
      <c r="G418" s="1" t="str">
        <f t="array" ref="G418">IF(XLOOKUP(C419,customers!$A$1:$A$1001,customers!$C$1:$C$1001,0)=0,"",XLOOKUP(C419,customers!$A$1:$A$1001,customers!$C$1:$C$1001,0))</f>
        <v/>
      </c>
      <c r="H418" s="1" t="str">
        <f t="array" ref="H418">XLOOKUP(C418,customers!$A$1:$A$1001,customers!$F$1:$F$1001,0)</f>
        <v>Dayton</v>
      </c>
    </row>
    <row r="419" ht="15.75" customHeight="1">
      <c r="A419" s="1" t="s">
        <v>848</v>
      </c>
      <c r="B419" s="2">
        <v>44457.0</v>
      </c>
      <c r="C419" s="1" t="s">
        <v>849</v>
      </c>
      <c r="D419" s="3" t="s">
        <v>217</v>
      </c>
      <c r="E419" s="1">
        <v>1.0</v>
      </c>
      <c r="F419" s="1" t="str">
        <f t="array" ref="F419">XLOOKUP(C419,customers!A418:A1418, customers!B418:B1418,0)</f>
        <v>Paula Denis</v>
      </c>
      <c r="G419" s="1" t="str">
        <f t="array" ref="G419">IF(XLOOKUP(C420,customers!$A$1:$A$1001,customers!$C$1:$C$1001,0)=0,"",XLOOKUP(C420,customers!$A$1:$A$1001,customers!$C$1:$C$1001,0))</f>
        <v>bmcgilvrabm@so-net.ne.jp</v>
      </c>
      <c r="H419" s="1" t="str">
        <f t="array" ref="H419">XLOOKUP(C419,customers!$A$1:$A$1001,customers!$F$1:$F$1001,0)</f>
        <v>Phoenix</v>
      </c>
    </row>
    <row r="420" ht="15.75" customHeight="1">
      <c r="A420" s="1" t="s">
        <v>850</v>
      </c>
      <c r="B420" s="2">
        <v>44142.0</v>
      </c>
      <c r="C420" s="1" t="s">
        <v>851</v>
      </c>
      <c r="D420" s="3" t="s">
        <v>217</v>
      </c>
      <c r="E420" s="1">
        <v>5.0</v>
      </c>
      <c r="F420" s="1" t="str">
        <f t="array" ref="F420">XLOOKUP(C420,customers!A419:A1419, customers!B419:B1419,0)</f>
        <v>Broderick McGilvra</v>
      </c>
      <c r="G420" s="1" t="str">
        <f t="array" ref="G420">IF(XLOOKUP(C421,customers!$A$1:$A$1001,customers!$C$1:$C$1001,0)=0,"",XLOOKUP(C421,customers!$A$1:$A$1001,customers!$C$1:$C$1001,0))</f>
        <v>adanzeybn@github.com</v>
      </c>
      <c r="H420" s="1" t="str">
        <f t="array" ref="H420">XLOOKUP(C420,customers!$A$1:$A$1001,customers!$F$1:$F$1001,0)</f>
        <v>Sacramento</v>
      </c>
    </row>
    <row r="421" ht="15.75" customHeight="1">
      <c r="A421" s="1" t="s">
        <v>852</v>
      </c>
      <c r="B421" s="2">
        <v>44739.0</v>
      </c>
      <c r="C421" s="1" t="s">
        <v>853</v>
      </c>
      <c r="D421" s="3" t="s">
        <v>91</v>
      </c>
      <c r="E421" s="1">
        <v>1.0</v>
      </c>
      <c r="F421" s="1" t="str">
        <f t="array" ref="F421">XLOOKUP(C421,customers!A420:A1420, customers!B420:B1420,0)</f>
        <v>Annabella Danzey</v>
      </c>
      <c r="G421" s="1" t="str">
        <f t="array" ref="G421">IF(XLOOKUP(C422,customers!$A$1:$A$1001,customers!$C$1:$C$1001,0)=0,"",XLOOKUP(C422,customers!$A$1:$A$1001,customers!$C$1:$C$1001,0))</f>
        <v>tfarraac@behance.net</v>
      </c>
      <c r="H421" s="1" t="str">
        <f t="array" ref="H421">XLOOKUP(C421,customers!$A$1:$A$1001,customers!$F$1:$F$1001,0)</f>
        <v>Lincoln</v>
      </c>
    </row>
    <row r="422" ht="15.75" customHeight="1">
      <c r="A422" s="1" t="s">
        <v>854</v>
      </c>
      <c r="B422" s="2">
        <v>43866.0</v>
      </c>
      <c r="C422" s="1" t="s">
        <v>762</v>
      </c>
      <c r="D422" s="3" t="s">
        <v>136</v>
      </c>
      <c r="E422" s="1">
        <v>4.0</v>
      </c>
      <c r="F422" s="1">
        <f t="array" ref="F422">XLOOKUP(C422,customers!A421:A1421, customers!B421:B1421,0)</f>
        <v>0</v>
      </c>
      <c r="G422" s="1" t="str">
        <f t="array" ref="G422">IF(XLOOKUP(C423,customers!$A$1:$A$1001,customers!$C$1:$C$1001,0)=0,"",XLOOKUP(C423,customers!$A$1:$A$1001,customers!$C$1:$C$1001,0))</f>
        <v>tfarraac@behance.net</v>
      </c>
      <c r="H422" s="1" t="str">
        <f t="array" ref="H422">XLOOKUP(C422,customers!$A$1:$A$1001,customers!$F$1:$F$1001,0)</f>
        <v>Odessa</v>
      </c>
    </row>
    <row r="423" ht="15.75" customHeight="1">
      <c r="A423" s="1" t="s">
        <v>854</v>
      </c>
      <c r="B423" s="2">
        <v>43866.0</v>
      </c>
      <c r="C423" s="1" t="s">
        <v>762</v>
      </c>
      <c r="D423" s="3" t="s">
        <v>131</v>
      </c>
      <c r="E423" s="1">
        <v>6.0</v>
      </c>
      <c r="F423" s="1">
        <f t="array" ref="F423">XLOOKUP(C423,customers!A422:A1422, customers!B422:B1422,0)</f>
        <v>0</v>
      </c>
      <c r="G423" s="1" t="str">
        <f t="array" ref="G423">IF(XLOOKUP(C424,customers!$A$1:$A$1001,customers!$C$1:$C$1001,0)=0,"",XLOOKUP(C424,customers!$A$1:$A$1001,customers!$C$1:$C$1001,0))</f>
        <v/>
      </c>
      <c r="H423" s="1" t="str">
        <f t="array" ref="H423">XLOOKUP(C423,customers!$A$1:$A$1001,customers!$F$1:$F$1001,0)</f>
        <v>Odessa</v>
      </c>
    </row>
    <row r="424" ht="15.75" customHeight="1">
      <c r="A424" s="1" t="s">
        <v>855</v>
      </c>
      <c r="B424" s="2">
        <v>43868.0</v>
      </c>
      <c r="C424" s="1" t="s">
        <v>856</v>
      </c>
      <c r="D424" s="3" t="s">
        <v>85</v>
      </c>
      <c r="E424" s="1">
        <v>5.0</v>
      </c>
      <c r="F424" s="1" t="str">
        <f t="array" ref="F424">XLOOKUP(C424,customers!A423:A1423, customers!B423:B1423,0)</f>
        <v>Nevins Glowacz</v>
      </c>
      <c r="G424" s="1" t="str">
        <f t="array" ref="G424">IF(XLOOKUP(C425,customers!$A$1:$A$1001,customers!$C$1:$C$1001,0)=0,"",XLOOKUP(C425,customers!$A$1:$A$1001,customers!$C$1:$C$1001,0))</f>
        <v/>
      </c>
      <c r="H424" s="1" t="str">
        <f t="array" ref="H424">XLOOKUP(C424,customers!$A$1:$A$1001,customers!$F$1:$F$1001,0)</f>
        <v>Madison</v>
      </c>
    </row>
    <row r="425" ht="15.75" customHeight="1">
      <c r="A425" s="1" t="s">
        <v>857</v>
      </c>
      <c r="B425" s="2">
        <v>44183.0</v>
      </c>
      <c r="C425" s="1" t="s">
        <v>858</v>
      </c>
      <c r="D425" s="3" t="s">
        <v>35</v>
      </c>
      <c r="E425" s="1">
        <v>3.0</v>
      </c>
      <c r="F425" s="1" t="str">
        <f t="array" ref="F425">XLOOKUP(C425,customers!A424:A1424, customers!B424:B1424,0)</f>
        <v>Adelice Isabell</v>
      </c>
      <c r="G425" s="1" t="str">
        <f t="array" ref="G425">IF(XLOOKUP(C426,customers!$A$1:$A$1001,customers!$C$1:$C$1001,0)=0,"",XLOOKUP(C426,customers!$A$1:$A$1001,customers!$C$1:$C$1001,0))</f>
        <v>ydombrellbs@dedecms.com</v>
      </c>
      <c r="H425" s="1" t="str">
        <f t="array" ref="H425">XLOOKUP(C425,customers!$A$1:$A$1001,customers!$F$1:$F$1001,0)</f>
        <v>Charleston</v>
      </c>
    </row>
    <row r="426" ht="15.75" customHeight="1">
      <c r="A426" s="1" t="s">
        <v>859</v>
      </c>
      <c r="B426" s="2">
        <v>44431.0</v>
      </c>
      <c r="C426" s="1" t="s">
        <v>860</v>
      </c>
      <c r="D426" s="3" t="s">
        <v>189</v>
      </c>
      <c r="E426" s="1">
        <v>3.0</v>
      </c>
      <c r="F426" s="1" t="str">
        <f t="array" ref="F426">XLOOKUP(C426,customers!A425:A1425, customers!B425:B1425,0)</f>
        <v>Yulma Dombrell</v>
      </c>
      <c r="G426" s="1" t="str">
        <f t="array" ref="G426">IF(XLOOKUP(C427,customers!$A$1:$A$1001,customers!$C$1:$C$1001,0)=0,"",XLOOKUP(C427,customers!$A$1:$A$1001,customers!$C$1:$C$1001,0))</f>
        <v>adarthbt@t.co</v>
      </c>
      <c r="H426" s="1" t="str">
        <f t="array" ref="H426">XLOOKUP(C426,customers!$A$1:$A$1001,customers!$F$1:$F$1001,0)</f>
        <v>Little Rock</v>
      </c>
    </row>
    <row r="427" ht="15.75" customHeight="1">
      <c r="A427" s="1" t="s">
        <v>861</v>
      </c>
      <c r="B427" s="2">
        <v>44428.0</v>
      </c>
      <c r="C427" s="1" t="s">
        <v>862</v>
      </c>
      <c r="D427" s="3" t="s">
        <v>192</v>
      </c>
      <c r="E427" s="1">
        <v>2.0</v>
      </c>
      <c r="F427" s="1" t="str">
        <f t="array" ref="F427">XLOOKUP(C427,customers!A426:A1426, customers!B426:B1426,0)</f>
        <v>Alric Darth</v>
      </c>
      <c r="G427" s="1" t="str">
        <f t="array" ref="G427">IF(XLOOKUP(C428,customers!$A$1:$A$1001,customers!$C$1:$C$1001,0)=0,"",XLOOKUP(C428,customers!$A$1:$A$1001,customers!$C$1:$C$1001,0))</f>
        <v>mdarrigoebu@hud.gov</v>
      </c>
      <c r="H427" s="1" t="str">
        <f t="array" ref="H427">XLOOKUP(C427,customers!$A$1:$A$1001,customers!$F$1:$F$1001,0)</f>
        <v>Anchorage</v>
      </c>
    </row>
    <row r="428" ht="15.75" customHeight="1">
      <c r="A428" s="1" t="s">
        <v>863</v>
      </c>
      <c r="B428" s="2">
        <v>43556.0</v>
      </c>
      <c r="C428" s="1" t="s">
        <v>864</v>
      </c>
      <c r="D428" s="3" t="s">
        <v>195</v>
      </c>
      <c r="E428" s="1">
        <v>4.0</v>
      </c>
      <c r="F428" s="1" t="str">
        <f t="array" ref="F428">XLOOKUP(C428,customers!A427:A1427, customers!B427:B1427,0)</f>
        <v>Manuel Darrigoe</v>
      </c>
      <c r="G428" s="1" t="str">
        <f t="array" ref="G428">IF(XLOOKUP(C429,customers!$A$1:$A$1001,customers!$C$1:$C$1001,0)=0,"",XLOOKUP(C429,customers!$A$1:$A$1001,customers!$C$1:$C$1001,0))</f>
        <v/>
      </c>
      <c r="H428" s="1" t="str">
        <f t="array" ref="H428">XLOOKUP(C428,customers!$A$1:$A$1001,customers!$F$1:$F$1001,0)</f>
        <v>Longwood</v>
      </c>
    </row>
    <row r="429" ht="15.75" customHeight="1">
      <c r="A429" s="1" t="s">
        <v>865</v>
      </c>
      <c r="B429" s="2">
        <v>44224.0</v>
      </c>
      <c r="C429" s="1" t="s">
        <v>866</v>
      </c>
      <c r="D429" s="3" t="s">
        <v>184</v>
      </c>
      <c r="E429" s="1">
        <v>3.0</v>
      </c>
      <c r="F429" s="1" t="str">
        <f t="array" ref="F429">XLOOKUP(C429,customers!A428:A1428, customers!B428:B1428,0)</f>
        <v>Kynthia Berick</v>
      </c>
      <c r="G429" s="1" t="str">
        <f t="array" ref="G429">IF(XLOOKUP(C430,customers!$A$1:$A$1001,customers!$C$1:$C$1001,0)=0,"",XLOOKUP(C430,customers!$A$1:$A$1001,customers!$C$1:$C$1001,0))</f>
        <v>mackrillbw@bandcamp.com</v>
      </c>
      <c r="H429" s="1" t="str">
        <f t="array" ref="H429">XLOOKUP(C429,customers!$A$1:$A$1001,customers!$F$1:$F$1001,0)</f>
        <v>San Francisco</v>
      </c>
    </row>
    <row r="430" ht="15.75" customHeight="1">
      <c r="A430" s="1" t="s">
        <v>867</v>
      </c>
      <c r="B430" s="2">
        <v>43759.0</v>
      </c>
      <c r="C430" s="1" t="s">
        <v>868</v>
      </c>
      <c r="D430" s="3" t="s">
        <v>202</v>
      </c>
      <c r="E430" s="1">
        <v>5.0</v>
      </c>
      <c r="F430" s="1" t="str">
        <f t="array" ref="F430">XLOOKUP(C430,customers!A429:A1429, customers!B429:B1429,0)</f>
        <v>Minetta Ackrill</v>
      </c>
      <c r="G430" s="1" t="str">
        <f t="array" ref="G430">IF(XLOOKUP(C431,customers!$A$1:$A$1001,customers!$C$1:$C$1001,0)=0,"",XLOOKUP(C431,customers!$A$1:$A$1001,customers!$C$1:$C$1001,0))</f>
        <v>tfarraac@behance.net</v>
      </c>
      <c r="H430" s="1" t="str">
        <f t="array" ref="H430">XLOOKUP(C430,customers!$A$1:$A$1001,customers!$F$1:$F$1001,0)</f>
        <v>Warren</v>
      </c>
    </row>
    <row r="431" ht="15.75" customHeight="1">
      <c r="A431" s="1" t="s">
        <v>869</v>
      </c>
      <c r="B431" s="2">
        <v>44367.0</v>
      </c>
      <c r="C431" s="1" t="s">
        <v>762</v>
      </c>
      <c r="D431" s="3" t="s">
        <v>19</v>
      </c>
      <c r="E431" s="1">
        <v>6.0</v>
      </c>
      <c r="F431" s="1">
        <f t="array" ref="F431">XLOOKUP(C431,customers!A430:A1430, customers!B430:B1430,0)</f>
        <v>0</v>
      </c>
      <c r="G431" s="1" t="str">
        <f t="array" ref="G431">IF(XLOOKUP(C432,customers!$A$1:$A$1001,customers!$C$1:$C$1001,0)=0,"",XLOOKUP(C432,customers!$A$1:$A$1001,customers!$C$1:$C$1001,0))</f>
        <v>mkippenby@dion.ne.jp</v>
      </c>
      <c r="H431" s="1" t="str">
        <f t="array" ref="H431">XLOOKUP(C431,customers!$A$1:$A$1001,customers!$F$1:$F$1001,0)</f>
        <v>Odessa</v>
      </c>
    </row>
    <row r="432" ht="15.75" customHeight="1">
      <c r="A432" s="1" t="s">
        <v>870</v>
      </c>
      <c r="B432" s="2">
        <v>44504.0</v>
      </c>
      <c r="C432" s="1" t="s">
        <v>871</v>
      </c>
      <c r="D432" s="3" t="s">
        <v>114</v>
      </c>
      <c r="E432" s="1">
        <v>2.0</v>
      </c>
      <c r="F432" s="1" t="str">
        <f t="array" ref="F432">XLOOKUP(C432,customers!A431:A1431, customers!B431:B1431,0)</f>
        <v>Melosa Kippen</v>
      </c>
      <c r="G432" s="1" t="str">
        <f t="array" ref="G432">IF(XLOOKUP(C433,customers!$A$1:$A$1001,customers!$C$1:$C$1001,0)=0,"",XLOOKUP(C433,customers!$A$1:$A$1001,customers!$C$1:$C$1001,0))</f>
        <v>wransonbz@ted.com</v>
      </c>
      <c r="H432" s="1" t="str">
        <f t="array" ref="H432">XLOOKUP(C432,customers!$A$1:$A$1001,customers!$F$1:$F$1001,0)</f>
        <v>Jackson</v>
      </c>
    </row>
    <row r="433" ht="15.75" customHeight="1">
      <c r="A433" s="1" t="s">
        <v>872</v>
      </c>
      <c r="B433" s="2">
        <v>44291.0</v>
      </c>
      <c r="C433" s="1" t="s">
        <v>873</v>
      </c>
      <c r="D433" s="3" t="s">
        <v>543</v>
      </c>
      <c r="E433" s="1">
        <v>3.0</v>
      </c>
      <c r="F433" s="1" t="str">
        <f t="array" ref="F433">XLOOKUP(C433,customers!A432:A1432, customers!B432:B1432,0)</f>
        <v>Witty Ranson</v>
      </c>
      <c r="G433" s="1" t="str">
        <f t="array" ref="G433">IF(XLOOKUP(C434,customers!$A$1:$A$1001,customers!$C$1:$C$1001,0)=0,"",XLOOKUP(C434,customers!$A$1:$A$1001,customers!$C$1:$C$1001,0))</f>
        <v/>
      </c>
      <c r="H433" s="1" t="str">
        <f t="array" ref="H433">XLOOKUP(C433,customers!$A$1:$A$1001,customers!$F$1:$F$1001,0)</f>
        <v>Kildare</v>
      </c>
    </row>
    <row r="434" ht="15.75" customHeight="1">
      <c r="A434" s="1" t="s">
        <v>874</v>
      </c>
      <c r="B434" s="2">
        <v>43808.0</v>
      </c>
      <c r="C434" s="1" t="s">
        <v>875</v>
      </c>
      <c r="D434" s="3" t="s">
        <v>74</v>
      </c>
      <c r="E434" s="1">
        <v>2.0</v>
      </c>
      <c r="F434" s="1" t="str">
        <f t="array" ref="F434">XLOOKUP(C434,customers!A433:A1433, customers!B433:B1433,0)</f>
        <v>Rod Gowdie</v>
      </c>
      <c r="G434" s="1" t="str">
        <f t="array" ref="G434">IF(XLOOKUP(C435,customers!$A$1:$A$1001,customers!$C$1:$C$1001,0)=0,"",XLOOKUP(C435,customers!$A$1:$A$1001,customers!$C$1:$C$1001,0))</f>
        <v>lrignoldc1@miibeian.gov.cn</v>
      </c>
      <c r="H434" s="1" t="str">
        <f t="array" ref="H434">XLOOKUP(C434,customers!$A$1:$A$1001,customers!$F$1:$F$1001,0)</f>
        <v>Milwaukee</v>
      </c>
    </row>
    <row r="435" ht="15.75" customHeight="1">
      <c r="A435" s="1" t="s">
        <v>876</v>
      </c>
      <c r="B435" s="2">
        <v>44563.0</v>
      </c>
      <c r="C435" s="1" t="s">
        <v>877</v>
      </c>
      <c r="D435" s="3" t="s">
        <v>210</v>
      </c>
      <c r="E435" s="1">
        <v>6.0</v>
      </c>
      <c r="F435" s="1" t="str">
        <f t="array" ref="F435">XLOOKUP(C435,customers!A434:A1434, customers!B434:B1434,0)</f>
        <v>Lemuel Rignold</v>
      </c>
      <c r="G435" s="1" t="str">
        <f t="array" ref="G435">IF(XLOOKUP(C436,customers!$A$1:$A$1001,customers!$C$1:$C$1001,0)=0,"",XLOOKUP(C436,customers!$A$1:$A$1001,customers!$C$1:$C$1001,0))</f>
        <v/>
      </c>
      <c r="H435" s="1" t="str">
        <f t="array" ref="H435">XLOOKUP(C435,customers!$A$1:$A$1001,customers!$F$1:$F$1001,0)</f>
        <v>Sacramento</v>
      </c>
    </row>
    <row r="436" ht="15.75" customHeight="1">
      <c r="A436" s="1" t="s">
        <v>878</v>
      </c>
      <c r="B436" s="2">
        <v>43807.0</v>
      </c>
      <c r="C436" s="1" t="s">
        <v>879</v>
      </c>
      <c r="D436" s="3" t="s">
        <v>74</v>
      </c>
      <c r="E436" s="1">
        <v>6.0</v>
      </c>
      <c r="F436" s="1" t="str">
        <f t="array" ref="F436">XLOOKUP(C436,customers!A435:A1435, customers!B435:B1435,0)</f>
        <v>Nevsa Fields</v>
      </c>
      <c r="G436" s="1" t="str">
        <f t="array" ref="G436">IF(XLOOKUP(C437,customers!$A$1:$A$1001,customers!$C$1:$C$1001,0)=0,"",XLOOKUP(C437,customers!$A$1:$A$1001,customers!$C$1:$C$1001,0))</f>
        <v>crowthornc3@msn.com</v>
      </c>
      <c r="H436" s="1" t="str">
        <f t="array" ref="H436">XLOOKUP(C436,customers!$A$1:$A$1001,customers!$F$1:$F$1001,0)</f>
        <v>Boston</v>
      </c>
    </row>
    <row r="437" ht="15.75" customHeight="1">
      <c r="A437" s="1" t="s">
        <v>880</v>
      </c>
      <c r="B437" s="2">
        <v>44528.0</v>
      </c>
      <c r="C437" s="1" t="s">
        <v>881</v>
      </c>
      <c r="D437" s="3" t="s">
        <v>16</v>
      </c>
      <c r="E437" s="1">
        <v>1.0</v>
      </c>
      <c r="F437" s="1" t="str">
        <f t="array" ref="F437">XLOOKUP(C437,customers!A436:A1436, customers!B436:B1436,0)</f>
        <v>Chance Rowthorn</v>
      </c>
      <c r="G437" s="1" t="str">
        <f t="array" ref="G437">IF(XLOOKUP(C438,customers!$A$1:$A$1001,customers!$C$1:$C$1001,0)=0,"",XLOOKUP(C438,customers!$A$1:$A$1001,customers!$C$1:$C$1001,0))</f>
        <v>orylandc4@deviantart.com</v>
      </c>
      <c r="H437" s="1" t="str">
        <f t="array" ref="H437">XLOOKUP(C437,customers!$A$1:$A$1001,customers!$F$1:$F$1001,0)</f>
        <v>Topeka</v>
      </c>
    </row>
    <row r="438" ht="15.75" customHeight="1">
      <c r="A438" s="1" t="s">
        <v>882</v>
      </c>
      <c r="B438" s="2">
        <v>44631.0</v>
      </c>
      <c r="C438" s="1" t="s">
        <v>883</v>
      </c>
      <c r="D438" s="3" t="s">
        <v>32</v>
      </c>
      <c r="E438" s="1">
        <v>2.0</v>
      </c>
      <c r="F438" s="1" t="str">
        <f t="array" ref="F438">XLOOKUP(C438,customers!A437:A1437, customers!B437:B1437,0)</f>
        <v>Orly Ryland</v>
      </c>
      <c r="G438" s="1" t="str">
        <f t="array" ref="G438">IF(XLOOKUP(C439,customers!$A$1:$A$1001,customers!$C$1:$C$1001,0)=0,"",XLOOKUP(C439,customers!$A$1:$A$1001,customers!$C$1:$C$1001,0))</f>
        <v/>
      </c>
      <c r="H438" s="1" t="str">
        <f t="array" ref="H438">XLOOKUP(C438,customers!$A$1:$A$1001,customers!$F$1:$F$1001,0)</f>
        <v>Fargo</v>
      </c>
    </row>
    <row r="439" ht="15.75" customHeight="1">
      <c r="A439" s="1" t="s">
        <v>884</v>
      </c>
      <c r="B439" s="2">
        <v>44213.0</v>
      </c>
      <c r="C439" s="1" t="s">
        <v>885</v>
      </c>
      <c r="D439" s="3" t="s">
        <v>122</v>
      </c>
      <c r="E439" s="1">
        <v>1.0</v>
      </c>
      <c r="F439" s="1" t="str">
        <f t="array" ref="F439">XLOOKUP(C439,customers!A438:A1438, customers!B438:B1438,0)</f>
        <v>Willabella Abramski</v>
      </c>
      <c r="G439" s="1" t="str">
        <f t="array" ref="G439">IF(XLOOKUP(C440,customers!$A$1:$A$1001,customers!$C$1:$C$1001,0)=0,"",XLOOKUP(C440,customers!$A$1:$A$1001,customers!$C$1:$C$1001,0))</f>
        <v>msesonck@census.gov</v>
      </c>
      <c r="H439" s="1" t="str">
        <f t="array" ref="H439">XLOOKUP(C439,customers!$A$1:$A$1001,customers!$F$1:$F$1001,0)</f>
        <v>Houston</v>
      </c>
    </row>
    <row r="440" ht="15.75" customHeight="1">
      <c r="A440" s="1" t="s">
        <v>886</v>
      </c>
      <c r="B440" s="2">
        <v>43483.0</v>
      </c>
      <c r="C440" s="1" t="s">
        <v>887</v>
      </c>
      <c r="D440" s="3" t="s">
        <v>136</v>
      </c>
      <c r="E440" s="1">
        <v>2.0</v>
      </c>
      <c r="F440" s="1" t="str">
        <f t="array" ref="F440">XLOOKUP(C440,customers!A439:A1439, customers!B439:B1439,0)</f>
        <v>Morgen Seson</v>
      </c>
      <c r="G440" s="1" t="str">
        <f t="array" ref="G440">IF(XLOOKUP(C441,customers!$A$1:$A$1001,customers!$C$1:$C$1001,0)=0,"",XLOOKUP(C441,customers!$A$1:$A$1001,customers!$C$1:$C$1001,0))</f>
        <v>craglessc7@webmd.com</v>
      </c>
      <c r="H440" s="1" t="str">
        <f t="array" ref="H440">XLOOKUP(C440,customers!$A$1:$A$1001,customers!$F$1:$F$1001,0)</f>
        <v>Seattle</v>
      </c>
    </row>
    <row r="441" ht="15.75" customHeight="1">
      <c r="A441" s="1" t="s">
        <v>888</v>
      </c>
      <c r="B441" s="2">
        <v>43562.0</v>
      </c>
      <c r="C441" s="1" t="s">
        <v>889</v>
      </c>
      <c r="D441" s="3" t="s">
        <v>189</v>
      </c>
      <c r="E441" s="1">
        <v>4.0</v>
      </c>
      <c r="F441" s="1" t="str">
        <f t="array" ref="F441">XLOOKUP(C441,customers!A440:A1440, customers!B440:B1440,0)</f>
        <v>Chickie Ragless</v>
      </c>
      <c r="G441" s="1" t="str">
        <f t="array" ref="G441">IF(XLOOKUP(C442,customers!$A$1:$A$1001,customers!$C$1:$C$1001,0)=0,"",XLOOKUP(C442,customers!$A$1:$A$1001,customers!$C$1:$C$1001,0))</f>
        <v>fhollowsc8@blogtalkradio.com</v>
      </c>
      <c r="H441" s="1" t="str">
        <f t="array" ref="H441">XLOOKUP(C441,customers!$A$1:$A$1001,customers!$F$1:$F$1001,0)</f>
        <v>Caherconlish</v>
      </c>
    </row>
    <row r="442" ht="15.75" customHeight="1">
      <c r="A442" s="1" t="s">
        <v>890</v>
      </c>
      <c r="B442" s="2">
        <v>44230.0</v>
      </c>
      <c r="C442" s="1" t="s">
        <v>891</v>
      </c>
      <c r="D442" s="3" t="s">
        <v>184</v>
      </c>
      <c r="E442" s="1">
        <v>4.0</v>
      </c>
      <c r="F442" s="1" t="str">
        <f t="array" ref="F442">XLOOKUP(C442,customers!A441:A1441, customers!B441:B1441,0)</f>
        <v>Freda Hollows</v>
      </c>
      <c r="G442" s="1" t="str">
        <f t="array" ref="G442">IF(XLOOKUP(C443,customers!$A$1:$A$1001,customers!$C$1:$C$1001,0)=0,"",XLOOKUP(C443,customers!$A$1:$A$1001,customers!$C$1:$C$1001,0))</f>
        <v>llathleiffc9@nationalgeographic.com</v>
      </c>
      <c r="H442" s="1" t="str">
        <f t="array" ref="H442">XLOOKUP(C442,customers!$A$1:$A$1001,customers!$F$1:$F$1001,0)</f>
        <v>Buffalo</v>
      </c>
    </row>
    <row r="443" ht="15.75" customHeight="1">
      <c r="A443" s="1" t="s">
        <v>892</v>
      </c>
      <c r="B443" s="2">
        <v>43573.0</v>
      </c>
      <c r="C443" s="1" t="s">
        <v>893</v>
      </c>
      <c r="D443" s="3" t="s">
        <v>258</v>
      </c>
      <c r="E443" s="1">
        <v>3.0</v>
      </c>
      <c r="F443" s="1" t="str">
        <f t="array" ref="F443">XLOOKUP(C443,customers!A442:A1442, customers!B442:B1442,0)</f>
        <v>Livy Lathleiff</v>
      </c>
      <c r="G443" s="1" t="str">
        <f t="array" ref="G443">IF(XLOOKUP(C444,customers!$A$1:$A$1001,customers!$C$1:$C$1001,0)=0,"",XLOOKUP(C444,customers!$A$1:$A$1001,customers!$C$1:$C$1001,0))</f>
        <v>kheadsca@jalbum.net</v>
      </c>
      <c r="H443" s="1" t="str">
        <f t="array" ref="H443">XLOOKUP(C443,customers!$A$1:$A$1001,customers!$F$1:$F$1001,0)</f>
        <v>Shankill</v>
      </c>
    </row>
    <row r="444" ht="15.75" customHeight="1">
      <c r="A444" s="1" t="s">
        <v>894</v>
      </c>
      <c r="B444" s="2">
        <v>44384.0</v>
      </c>
      <c r="C444" s="1" t="s">
        <v>895</v>
      </c>
      <c r="D444" s="3" t="s">
        <v>170</v>
      </c>
      <c r="E444" s="1">
        <v>5.0</v>
      </c>
      <c r="F444" s="1" t="str">
        <f t="array" ref="F444">XLOOKUP(C444,customers!A443:A1443, customers!B443:B1443,0)</f>
        <v>Koralle Heads</v>
      </c>
      <c r="G444" s="1" t="str">
        <f t="array" ref="G444">IF(XLOOKUP(C445,customers!$A$1:$A$1001,customers!$C$1:$C$1001,0)=0,"",XLOOKUP(C445,customers!$A$1:$A$1001,customers!$C$1:$C$1001,0))</f>
        <v>tbownecb@unicef.org</v>
      </c>
      <c r="H444" s="1" t="str">
        <f t="array" ref="H444">XLOOKUP(C444,customers!$A$1:$A$1001,customers!$F$1:$F$1001,0)</f>
        <v>Bethlehem</v>
      </c>
    </row>
    <row r="445" ht="15.75" customHeight="1">
      <c r="A445" s="1" t="s">
        <v>896</v>
      </c>
      <c r="B445" s="2">
        <v>44250.0</v>
      </c>
      <c r="C445" s="1" t="s">
        <v>897</v>
      </c>
      <c r="D445" s="3" t="s">
        <v>267</v>
      </c>
      <c r="E445" s="1">
        <v>5.0</v>
      </c>
      <c r="F445" s="1" t="str">
        <f t="array" ref="F445">XLOOKUP(C445,customers!A444:A1444, customers!B444:B1444,0)</f>
        <v>Theo Bowne</v>
      </c>
      <c r="G445" s="1" t="str">
        <f t="array" ref="G445">IF(XLOOKUP(C446,customers!$A$1:$A$1001,customers!$C$1:$C$1001,0)=0,"",XLOOKUP(C446,customers!$A$1:$A$1001,customers!$C$1:$C$1001,0))</f>
        <v>rjacquemardcc@acquirethisname.com</v>
      </c>
      <c r="H445" s="1" t="str">
        <f t="array" ref="H445">XLOOKUP(C445,customers!$A$1:$A$1001,customers!$F$1:$F$1001,0)</f>
        <v>Watergrasshill</v>
      </c>
    </row>
    <row r="446" ht="15.75" customHeight="1">
      <c r="A446" s="1" t="s">
        <v>898</v>
      </c>
      <c r="B446" s="2">
        <v>44418.0</v>
      </c>
      <c r="C446" s="1" t="s">
        <v>899</v>
      </c>
      <c r="D446" s="3" t="s">
        <v>77</v>
      </c>
      <c r="E446" s="1">
        <v>6.0</v>
      </c>
      <c r="F446" s="1" t="str">
        <f t="array" ref="F446">XLOOKUP(C446,customers!A445:A1445, customers!B445:B1445,0)</f>
        <v>Rasia Jacquemard</v>
      </c>
      <c r="G446" s="1" t="str">
        <f t="array" ref="G446">IF(XLOOKUP(C447,customers!$A$1:$A$1001,customers!$C$1:$C$1001,0)=0,"",XLOOKUP(C447,customers!$A$1:$A$1001,customers!$C$1:$C$1001,0))</f>
        <v>kwarmancd@printfriendly.com</v>
      </c>
      <c r="H446" s="1" t="str">
        <f t="array" ref="H446">XLOOKUP(C446,customers!$A$1:$A$1001,customers!$F$1:$F$1001,0)</f>
        <v>Monasterevin</v>
      </c>
    </row>
    <row r="447" ht="15.75" customHeight="1">
      <c r="A447" s="1" t="s">
        <v>900</v>
      </c>
      <c r="B447" s="2">
        <v>43784.0</v>
      </c>
      <c r="C447" s="1" t="s">
        <v>901</v>
      </c>
      <c r="D447" s="3" t="s">
        <v>210</v>
      </c>
      <c r="E447" s="1">
        <v>2.0</v>
      </c>
      <c r="F447" s="1" t="str">
        <f t="array" ref="F447">XLOOKUP(C447,customers!A446:A1446, customers!B446:B1446,0)</f>
        <v>Kizzie Warman</v>
      </c>
      <c r="G447" s="1" t="str">
        <f t="array" ref="G447">IF(XLOOKUP(C448,customers!$A$1:$A$1001,customers!$C$1:$C$1001,0)=0,"",XLOOKUP(C448,customers!$A$1:$A$1001,customers!$C$1:$C$1001,0))</f>
        <v>wcholomince@about.com</v>
      </c>
      <c r="H447" s="1" t="str">
        <f t="array" ref="H447">XLOOKUP(C447,customers!$A$1:$A$1001,customers!$F$1:$F$1001,0)</f>
        <v>Sandyford</v>
      </c>
    </row>
    <row r="448" ht="15.75" customHeight="1">
      <c r="A448" s="1" t="s">
        <v>902</v>
      </c>
      <c r="B448" s="2">
        <v>43816.0</v>
      </c>
      <c r="C448" s="1" t="s">
        <v>903</v>
      </c>
      <c r="D448" s="3" t="s">
        <v>91</v>
      </c>
      <c r="E448" s="1">
        <v>1.0</v>
      </c>
      <c r="F448" s="1" t="str">
        <f t="array" ref="F448">XLOOKUP(C448,customers!A447:A1447, customers!B447:B1447,0)</f>
        <v>Wain Cholomin</v>
      </c>
      <c r="G448" s="1" t="str">
        <f t="array" ref="G448">IF(XLOOKUP(C449,customers!$A$1:$A$1001,customers!$C$1:$C$1001,0)=0,"",XLOOKUP(C449,customers!$A$1:$A$1001,customers!$C$1:$C$1001,0))</f>
        <v>abraidmancf@census.gov</v>
      </c>
      <c r="H448" s="1" t="str">
        <f t="array" ref="H448">XLOOKUP(C448,customers!$A$1:$A$1001,customers!$F$1:$F$1001,0)</f>
        <v>Birmingham</v>
      </c>
    </row>
    <row r="449" ht="15.75" customHeight="1">
      <c r="A449" s="1" t="s">
        <v>904</v>
      </c>
      <c r="B449" s="2">
        <v>43908.0</v>
      </c>
      <c r="C449" s="1" t="s">
        <v>905</v>
      </c>
      <c r="D449" s="3" t="s">
        <v>35</v>
      </c>
      <c r="E449" s="1">
        <v>3.0</v>
      </c>
      <c r="F449" s="1" t="str">
        <f t="array" ref="F449">XLOOKUP(C449,customers!A448:A1448, customers!B448:B1448,0)</f>
        <v>Arleen Braidman</v>
      </c>
      <c r="G449" s="1" t="str">
        <f t="array" ref="G449">IF(XLOOKUP(C450,customers!$A$1:$A$1001,customers!$C$1:$C$1001,0)=0,"",XLOOKUP(C450,customers!$A$1:$A$1001,customers!$C$1:$C$1001,0))</f>
        <v>pdurbancg@symantec.com</v>
      </c>
      <c r="H449" s="1" t="str">
        <f t="array" ref="H449">XLOOKUP(C449,customers!$A$1:$A$1001,customers!$F$1:$F$1001,0)</f>
        <v>Phoenix</v>
      </c>
    </row>
    <row r="450" ht="15.75" customHeight="1">
      <c r="A450" s="1" t="s">
        <v>906</v>
      </c>
      <c r="B450" s="2">
        <v>44718.0</v>
      </c>
      <c r="C450" s="1" t="s">
        <v>907</v>
      </c>
      <c r="D450" s="3" t="s">
        <v>170</v>
      </c>
      <c r="E450" s="1">
        <v>1.0</v>
      </c>
      <c r="F450" s="1" t="str">
        <f t="array" ref="F450">XLOOKUP(C450,customers!A449:A1449, customers!B449:B1449,0)</f>
        <v>Pru Durban</v>
      </c>
      <c r="G450" s="1" t="str">
        <f t="array" ref="G450">IF(XLOOKUP(C451,customers!$A$1:$A$1001,customers!$C$1:$C$1001,0)=0,"",XLOOKUP(C451,customers!$A$1:$A$1001,customers!$C$1:$C$1001,0))</f>
        <v>aharroldch@miibeian.gov.cn</v>
      </c>
      <c r="H450" s="1" t="str">
        <f t="array" ref="H450">XLOOKUP(C450,customers!$A$1:$A$1001,customers!$F$1:$F$1001,0)</f>
        <v>Longford</v>
      </c>
    </row>
    <row r="451" ht="15.75" customHeight="1">
      <c r="A451" s="1" t="s">
        <v>908</v>
      </c>
      <c r="B451" s="2">
        <v>44336.0</v>
      </c>
      <c r="C451" s="1" t="s">
        <v>909</v>
      </c>
      <c r="D451" s="3" t="s">
        <v>114</v>
      </c>
      <c r="E451" s="1">
        <v>2.0</v>
      </c>
      <c r="F451" s="1" t="str">
        <f t="array" ref="F451">XLOOKUP(C451,customers!A450:A1450, customers!B450:B1450,0)</f>
        <v>Antone Harrold</v>
      </c>
      <c r="G451" s="1" t="str">
        <f t="array" ref="G451">IF(XLOOKUP(C452,customers!$A$1:$A$1001,customers!$C$1:$C$1001,0)=0,"",XLOOKUP(C452,customers!$A$1:$A$1001,customers!$C$1:$C$1001,0))</f>
        <v>spamphilonci@mlb.com</v>
      </c>
      <c r="H451" s="1" t="str">
        <f t="array" ref="H451">XLOOKUP(C451,customers!$A$1:$A$1001,customers!$F$1:$F$1001,0)</f>
        <v>Toledo</v>
      </c>
    </row>
    <row r="452" ht="15.75" customHeight="1">
      <c r="A452" s="1" t="s">
        <v>910</v>
      </c>
      <c r="B452" s="2">
        <v>44207.0</v>
      </c>
      <c r="C452" s="1" t="s">
        <v>911</v>
      </c>
      <c r="D452" s="3" t="s">
        <v>32</v>
      </c>
      <c r="E452" s="1">
        <v>5.0</v>
      </c>
      <c r="F452" s="1" t="str">
        <f t="array" ref="F452">XLOOKUP(C452,customers!A451:A1451, customers!B451:B1451,0)</f>
        <v>Sim Pamphilon</v>
      </c>
      <c r="G452" s="1" t="str">
        <f t="array" ref="G452">IF(XLOOKUP(C453,customers!$A$1:$A$1001,customers!$C$1:$C$1001,0)=0,"",XLOOKUP(C453,customers!$A$1:$A$1001,customers!$C$1:$C$1001,0))</f>
        <v>mspurdencj@exblog.jp</v>
      </c>
      <c r="H452" s="1" t="str">
        <f t="array" ref="H452">XLOOKUP(C452,customers!$A$1:$A$1001,customers!$F$1:$F$1001,0)</f>
        <v>Ballylinan</v>
      </c>
    </row>
    <row r="453" ht="15.75" customHeight="1">
      <c r="A453" s="1" t="s">
        <v>912</v>
      </c>
      <c r="B453" s="2">
        <v>43518.0</v>
      </c>
      <c r="C453" s="1" t="s">
        <v>913</v>
      </c>
      <c r="D453" s="3" t="s">
        <v>48</v>
      </c>
      <c r="E453" s="1">
        <v>2.0</v>
      </c>
      <c r="F453" s="1" t="str">
        <f t="array" ref="F453">XLOOKUP(C453,customers!A452:A1452, customers!B452:B1452,0)</f>
        <v>Mohandis Spurden</v>
      </c>
      <c r="G453" s="1" t="str">
        <f t="array" ref="G453">IF(XLOOKUP(C454,customers!$A$1:$A$1001,customers!$C$1:$C$1001,0)=0,"",XLOOKUP(C454,customers!$A$1:$A$1001,customers!$C$1:$C$1001,0))</f>
        <v>msesonck@census.gov</v>
      </c>
      <c r="H453" s="1" t="str">
        <f t="array" ref="H453">XLOOKUP(C453,customers!$A$1:$A$1001,customers!$F$1:$F$1001,0)</f>
        <v>Charlotte</v>
      </c>
    </row>
    <row r="454" ht="15.75" customHeight="1">
      <c r="A454" s="1" t="s">
        <v>914</v>
      </c>
      <c r="B454" s="2">
        <v>44524.0</v>
      </c>
      <c r="C454" s="1" t="s">
        <v>887</v>
      </c>
      <c r="D454" s="3" t="s">
        <v>128</v>
      </c>
      <c r="E454" s="1">
        <v>3.0</v>
      </c>
      <c r="F454" s="1" t="str">
        <f t="array" ref="F454">XLOOKUP(C454,customers!A453:A1453, customers!B453:B1453,0)</f>
        <v>Morgen Seson</v>
      </c>
      <c r="G454" s="1" t="str">
        <f t="array" ref="G454">IF(XLOOKUP(C455,customers!$A$1:$A$1001,customers!$C$1:$C$1001,0)=0,"",XLOOKUP(C455,customers!$A$1:$A$1001,customers!$C$1:$C$1001,0))</f>
        <v>npirronecl@weibo.com</v>
      </c>
      <c r="H454" s="1" t="str">
        <f t="array" ref="H454">XLOOKUP(C454,customers!$A$1:$A$1001,customers!$F$1:$F$1001,0)</f>
        <v>Seattle</v>
      </c>
    </row>
    <row r="455" ht="15.75" customHeight="1">
      <c r="A455" s="1" t="s">
        <v>915</v>
      </c>
      <c r="B455" s="2">
        <v>44579.0</v>
      </c>
      <c r="C455" s="1" t="s">
        <v>916</v>
      </c>
      <c r="D455" s="3" t="s">
        <v>96</v>
      </c>
      <c r="E455" s="1">
        <v>4.0</v>
      </c>
      <c r="F455" s="1" t="str">
        <f t="array" ref="F455">XLOOKUP(C455,customers!A454:A1454, customers!B454:B1454,0)</f>
        <v>Nalani Pirrone</v>
      </c>
      <c r="G455" s="1" t="str">
        <f t="array" ref="G455">IF(XLOOKUP(C456,customers!$A$1:$A$1001,customers!$C$1:$C$1001,0)=0,"",XLOOKUP(C456,customers!$A$1:$A$1001,customers!$C$1:$C$1001,0))</f>
        <v>rcawleycm@yellowbook.com</v>
      </c>
      <c r="H455" s="1" t="str">
        <f t="array" ref="H455">XLOOKUP(C455,customers!$A$1:$A$1001,customers!$F$1:$F$1001,0)</f>
        <v>Wilkes Barre</v>
      </c>
    </row>
    <row r="456" ht="15.75" customHeight="1">
      <c r="A456" s="1" t="s">
        <v>917</v>
      </c>
      <c r="B456" s="2">
        <v>44421.0</v>
      </c>
      <c r="C456" s="1" t="s">
        <v>918</v>
      </c>
      <c r="D456" s="3" t="s">
        <v>48</v>
      </c>
      <c r="E456" s="1">
        <v>4.0</v>
      </c>
      <c r="F456" s="1" t="str">
        <f t="array" ref="F456">XLOOKUP(C456,customers!A455:A1455, customers!B455:B1455,0)</f>
        <v>Reube Cawley</v>
      </c>
      <c r="G456" s="1" t="str">
        <f t="array" ref="G456">IF(XLOOKUP(C457,customers!$A$1:$A$1001,customers!$C$1:$C$1001,0)=0,"",XLOOKUP(C457,customers!$A$1:$A$1001,customers!$C$1:$C$1001,0))</f>
        <v>sbarribalcn@microsoft.com</v>
      </c>
      <c r="H456" s="1" t="str">
        <f t="array" ref="H456">XLOOKUP(C456,customers!$A$1:$A$1001,customers!$F$1:$F$1001,0)</f>
        <v>Ballyboden</v>
      </c>
    </row>
    <row r="457" ht="15.75" customHeight="1">
      <c r="A457" s="1" t="s">
        <v>919</v>
      </c>
      <c r="B457" s="2">
        <v>43841.0</v>
      </c>
      <c r="C457" s="1" t="s">
        <v>920</v>
      </c>
      <c r="D457" s="3" t="s">
        <v>32</v>
      </c>
      <c r="E457" s="1">
        <v>2.0</v>
      </c>
      <c r="F457" s="1" t="str">
        <f t="array" ref="F457">XLOOKUP(C457,customers!A456:A1456, customers!B456:B1456,0)</f>
        <v>Stan Barribal</v>
      </c>
      <c r="G457" s="1" t="str">
        <f t="array" ref="G457">IF(XLOOKUP(C458,customers!$A$1:$A$1001,customers!$C$1:$C$1001,0)=0,"",XLOOKUP(C458,customers!$A$1:$A$1001,customers!$C$1:$C$1001,0))</f>
        <v>aadamidesco@bizjournals.com</v>
      </c>
      <c r="H457" s="1" t="str">
        <f t="array" ref="H457">XLOOKUP(C457,customers!$A$1:$A$1001,customers!$F$1:$F$1001,0)</f>
        <v>Bagenalstown</v>
      </c>
    </row>
    <row r="458" ht="15.75" customHeight="1">
      <c r="A458" s="1" t="s">
        <v>921</v>
      </c>
      <c r="B458" s="2">
        <v>44017.0</v>
      </c>
      <c r="C458" s="1" t="s">
        <v>922</v>
      </c>
      <c r="D458" s="3" t="s">
        <v>48</v>
      </c>
      <c r="E458" s="1">
        <v>2.0</v>
      </c>
      <c r="F458" s="1" t="str">
        <f t="array" ref="F458">XLOOKUP(C458,customers!A457:A1457, customers!B457:B1457,0)</f>
        <v>Agnes Adamides</v>
      </c>
      <c r="G458" s="1" t="str">
        <f t="array" ref="G458">IF(XLOOKUP(C459,customers!$A$1:$A$1001,customers!$C$1:$C$1001,0)=0,"",XLOOKUP(C459,customers!$A$1:$A$1001,customers!$C$1:$C$1001,0))</f>
        <v>cthowescp@craigslist.org</v>
      </c>
      <c r="H458" s="1" t="str">
        <f t="array" ref="H458">XLOOKUP(C458,customers!$A$1:$A$1001,customers!$F$1:$F$1001,0)</f>
        <v>Liverpool</v>
      </c>
    </row>
    <row r="459" ht="15.75" customHeight="1">
      <c r="A459" s="1" t="s">
        <v>923</v>
      </c>
      <c r="B459" s="2">
        <v>43671.0</v>
      </c>
      <c r="C459" s="1" t="s">
        <v>924</v>
      </c>
      <c r="D459" s="3" t="s">
        <v>96</v>
      </c>
      <c r="E459" s="1">
        <v>5.0</v>
      </c>
      <c r="F459" s="1" t="str">
        <f t="array" ref="F459">XLOOKUP(C459,customers!A458:A1458, customers!B458:B1458,0)</f>
        <v>Carmelita Thowes</v>
      </c>
      <c r="G459" s="1" t="str">
        <f t="array" ref="G459">IF(XLOOKUP(C460,customers!$A$1:$A$1001,customers!$C$1:$C$1001,0)=0,"",XLOOKUP(C460,customers!$A$1:$A$1001,customers!$C$1:$C$1001,0))</f>
        <v>rwillowaycq@admin.ch</v>
      </c>
      <c r="H459" s="1" t="str">
        <f t="array" ref="H459">XLOOKUP(C459,customers!$A$1:$A$1001,customers!$F$1:$F$1001,0)</f>
        <v>Rochester</v>
      </c>
    </row>
    <row r="460" ht="15.75" customHeight="1">
      <c r="A460" s="1" t="s">
        <v>925</v>
      </c>
      <c r="B460" s="2">
        <v>44707.0</v>
      </c>
      <c r="C460" s="1" t="s">
        <v>926</v>
      </c>
      <c r="D460" s="3" t="s">
        <v>74</v>
      </c>
      <c r="E460" s="1">
        <v>4.0</v>
      </c>
      <c r="F460" s="1" t="str">
        <f t="array" ref="F460">XLOOKUP(C460,customers!A459:A1459, customers!B459:B1459,0)</f>
        <v>Rodolfo Willoway</v>
      </c>
      <c r="G460" s="1" t="str">
        <f t="array" ref="G460">IF(XLOOKUP(C461,customers!$A$1:$A$1001,customers!$C$1:$C$1001,0)=0,"",XLOOKUP(C461,customers!$A$1:$A$1001,customers!$C$1:$C$1001,0))</f>
        <v>aelwincr@privacy.gov.au</v>
      </c>
      <c r="H460" s="1" t="str">
        <f t="array" ref="H460">XLOOKUP(C460,customers!$A$1:$A$1001,customers!$F$1:$F$1001,0)</f>
        <v>Tucson</v>
      </c>
    </row>
    <row r="461" ht="15.75" customHeight="1">
      <c r="A461" s="1" t="s">
        <v>927</v>
      </c>
      <c r="B461" s="2">
        <v>43840.0</v>
      </c>
      <c r="C461" s="1" t="s">
        <v>928</v>
      </c>
      <c r="D461" s="3" t="s">
        <v>32</v>
      </c>
      <c r="E461" s="1">
        <v>5.0</v>
      </c>
      <c r="F461" s="1" t="str">
        <f t="array" ref="F461">XLOOKUP(C461,customers!A460:A1460, customers!B460:B1460,0)</f>
        <v>Alvis Elwin</v>
      </c>
      <c r="G461" s="1" t="str">
        <f t="array" ref="G461">IF(XLOOKUP(C462,customers!$A$1:$A$1001,customers!$C$1:$C$1001,0)=0,"",XLOOKUP(C462,customers!$A$1:$A$1001,customers!$C$1:$C$1001,0))</f>
        <v>abilbrookcs@booking.com</v>
      </c>
      <c r="H461" s="1" t="str">
        <f t="array" ref="H461">XLOOKUP(C461,customers!$A$1:$A$1001,customers!$F$1:$F$1001,0)</f>
        <v>Minneapolis</v>
      </c>
    </row>
    <row r="462" ht="15.75" customHeight="1">
      <c r="A462" s="1" t="s">
        <v>929</v>
      </c>
      <c r="B462" s="2">
        <v>43602.0</v>
      </c>
      <c r="C462" s="1" t="s">
        <v>930</v>
      </c>
      <c r="D462" s="3" t="s">
        <v>159</v>
      </c>
      <c r="E462" s="1">
        <v>3.0</v>
      </c>
      <c r="F462" s="1" t="str">
        <f t="array" ref="F462">XLOOKUP(C462,customers!A461:A1461, customers!B461:B1461,0)</f>
        <v>Araldo Bilbrook</v>
      </c>
      <c r="G462" s="1" t="str">
        <f t="array" ref="G462">IF(XLOOKUP(C463,customers!$A$1:$A$1001,customers!$C$1:$C$1001,0)=0,"",XLOOKUP(C463,customers!$A$1:$A$1001,customers!$C$1:$C$1001,0))</f>
        <v>rmckallct@sakura.ne.jp</v>
      </c>
      <c r="H462" s="1" t="str">
        <f t="array" ref="H462">XLOOKUP(C462,customers!$A$1:$A$1001,customers!$F$1:$F$1001,0)</f>
        <v>Ashbourne</v>
      </c>
    </row>
    <row r="463" ht="15.75" customHeight="1">
      <c r="A463" s="1" t="s">
        <v>931</v>
      </c>
      <c r="B463" s="2">
        <v>44036.0</v>
      </c>
      <c r="C463" s="1" t="s">
        <v>932</v>
      </c>
      <c r="D463" s="3" t="s">
        <v>114</v>
      </c>
      <c r="E463" s="1">
        <v>4.0</v>
      </c>
      <c r="F463" s="1" t="str">
        <f t="array" ref="F463">XLOOKUP(C463,customers!A462:A1462, customers!B462:B1462,0)</f>
        <v>Ransell McKall</v>
      </c>
      <c r="G463" s="1" t="str">
        <f t="array" ref="G463">IF(XLOOKUP(C464,customers!$A$1:$A$1001,customers!$C$1:$C$1001,0)=0,"",XLOOKUP(C464,customers!$A$1:$A$1001,customers!$C$1:$C$1001,0))</f>
        <v>bdailecu@vistaprint.com</v>
      </c>
      <c r="H463" s="1" t="str">
        <f t="array" ref="H463">XLOOKUP(C463,customers!$A$1:$A$1001,customers!$F$1:$F$1001,0)</f>
        <v>Bristol</v>
      </c>
    </row>
    <row r="464" ht="15.75" customHeight="1">
      <c r="A464" s="1" t="s">
        <v>933</v>
      </c>
      <c r="B464" s="2">
        <v>44124.0</v>
      </c>
      <c r="C464" s="1" t="s">
        <v>934</v>
      </c>
      <c r="D464" s="3" t="s">
        <v>40</v>
      </c>
      <c r="E464" s="1">
        <v>5.0</v>
      </c>
      <c r="F464" s="1" t="str">
        <f t="array" ref="F464">XLOOKUP(C464,customers!A463:A1463, customers!B463:B1463,0)</f>
        <v>Borg Daile</v>
      </c>
      <c r="G464" s="1" t="str">
        <f t="array" ref="G464">IF(XLOOKUP(C465,customers!$A$1:$A$1001,customers!$C$1:$C$1001,0)=0,"",XLOOKUP(C465,customers!$A$1:$A$1001,customers!$C$1:$C$1001,0))</f>
        <v>atrehernecv@state.tx.us</v>
      </c>
      <c r="H464" s="1" t="str">
        <f t="array" ref="H464">XLOOKUP(C464,customers!$A$1:$A$1001,customers!$F$1:$F$1001,0)</f>
        <v>Atlanta</v>
      </c>
    </row>
    <row r="465" ht="15.75" customHeight="1">
      <c r="A465" s="1" t="s">
        <v>935</v>
      </c>
      <c r="B465" s="2">
        <v>43730.0</v>
      </c>
      <c r="C465" s="1" t="s">
        <v>936</v>
      </c>
      <c r="D465" s="3" t="s">
        <v>22</v>
      </c>
      <c r="E465" s="1">
        <v>2.0</v>
      </c>
      <c r="F465" s="1" t="str">
        <f t="array" ref="F465">XLOOKUP(C465,customers!A464:A1464, customers!B464:B1464,0)</f>
        <v>Adolphe Treherne</v>
      </c>
      <c r="G465" s="1" t="str">
        <f t="array" ref="G465">IF(XLOOKUP(C466,customers!$A$1:$A$1001,customers!$C$1:$C$1001,0)=0,"",XLOOKUP(C466,customers!$A$1:$A$1001,customers!$C$1:$C$1001,0))</f>
        <v>abrentnallcw@biglobe.ne.jp</v>
      </c>
      <c r="H465" s="1" t="str">
        <f t="array" ref="H465">XLOOKUP(C465,customers!$A$1:$A$1001,customers!$F$1:$F$1001,0)</f>
        <v>Farranacoush</v>
      </c>
    </row>
    <row r="466" ht="15.75" customHeight="1">
      <c r="A466" s="1" t="s">
        <v>937</v>
      </c>
      <c r="B466" s="2">
        <v>43989.0</v>
      </c>
      <c r="C466" s="1" t="s">
        <v>938</v>
      </c>
      <c r="D466" s="3" t="s">
        <v>122</v>
      </c>
      <c r="E466" s="1">
        <v>4.0</v>
      </c>
      <c r="F466" s="1" t="str">
        <f t="array" ref="F466">XLOOKUP(C466,customers!A465:A1465, customers!B465:B1465,0)</f>
        <v>Annetta Brentnall</v>
      </c>
      <c r="G466" s="1" t="str">
        <f t="array" ref="G466">IF(XLOOKUP(C467,customers!$A$1:$A$1001,customers!$C$1:$C$1001,0)=0,"",XLOOKUP(C467,customers!$A$1:$A$1001,customers!$C$1:$C$1001,0))</f>
        <v>ddrinkallcx@psu.edu</v>
      </c>
      <c r="H466" s="1" t="str">
        <f t="array" ref="H466">XLOOKUP(C466,customers!$A$1:$A$1001,customers!$F$1:$F$1001,0)</f>
        <v>East End</v>
      </c>
    </row>
    <row r="467" ht="15.75" customHeight="1">
      <c r="A467" s="1" t="s">
        <v>939</v>
      </c>
      <c r="B467" s="2">
        <v>43814.0</v>
      </c>
      <c r="C467" s="1" t="s">
        <v>940</v>
      </c>
      <c r="D467" s="3" t="s">
        <v>48</v>
      </c>
      <c r="E467" s="1">
        <v>1.0</v>
      </c>
      <c r="F467" s="1" t="str">
        <f t="array" ref="F467">XLOOKUP(C467,customers!A466:A1466, customers!B466:B1466,0)</f>
        <v>Dick Drinkall</v>
      </c>
      <c r="G467" s="1" t="str">
        <f t="array" ref="G467">IF(XLOOKUP(C468,customers!$A$1:$A$1001,customers!$C$1:$C$1001,0)=0,"",XLOOKUP(C468,customers!$A$1:$A$1001,customers!$C$1:$C$1001,0))</f>
        <v>dkornelcy@cyberchimps.com</v>
      </c>
      <c r="H467" s="1" t="str">
        <f t="array" ref="H467">XLOOKUP(C467,customers!$A$1:$A$1001,customers!$F$1:$F$1001,0)</f>
        <v>Knoxville</v>
      </c>
    </row>
    <row r="468" ht="15.75" customHeight="1">
      <c r="A468" s="1" t="s">
        <v>941</v>
      </c>
      <c r="B468" s="2">
        <v>44171.0</v>
      </c>
      <c r="C468" s="1" t="s">
        <v>942</v>
      </c>
      <c r="D468" s="3" t="s">
        <v>67</v>
      </c>
      <c r="E468" s="1">
        <v>3.0</v>
      </c>
      <c r="F468" s="1" t="str">
        <f t="array" ref="F468">XLOOKUP(C468,customers!A467:A1467, customers!B467:B1467,0)</f>
        <v>Dagny Kornel</v>
      </c>
      <c r="G468" s="1" t="str">
        <f t="array" ref="G468">IF(XLOOKUP(C469,customers!$A$1:$A$1001,customers!$C$1:$C$1001,0)=0,"",XLOOKUP(C469,customers!$A$1:$A$1001,customers!$C$1:$C$1001,0))</f>
        <v>rlequeuxcz@newyorker.com</v>
      </c>
      <c r="H468" s="1" t="str">
        <f t="array" ref="H468">XLOOKUP(C468,customers!$A$1:$A$1001,customers!$F$1:$F$1001,0)</f>
        <v>Saginaw</v>
      </c>
    </row>
    <row r="469" ht="15.75" customHeight="1">
      <c r="A469" s="1" t="s">
        <v>943</v>
      </c>
      <c r="B469" s="2">
        <v>44536.0</v>
      </c>
      <c r="C469" s="1" t="s">
        <v>944</v>
      </c>
      <c r="D469" s="3" t="s">
        <v>85</v>
      </c>
      <c r="E469" s="1">
        <v>1.0</v>
      </c>
      <c r="F469" s="1" t="str">
        <f t="array" ref="F469">XLOOKUP(C469,customers!A468:A1468, customers!B468:B1468,0)</f>
        <v>Rhona Lequeux</v>
      </c>
      <c r="G469" s="1" t="str">
        <f t="array" ref="G469">IF(XLOOKUP(C470,customers!$A$1:$A$1001,customers!$C$1:$C$1001,0)=0,"",XLOOKUP(C470,customers!$A$1:$A$1001,customers!$C$1:$C$1001,0))</f>
        <v>jmccaulld0@parallels.com</v>
      </c>
      <c r="H469" s="1" t="str">
        <f t="array" ref="H469">XLOOKUP(C469,customers!$A$1:$A$1001,customers!$F$1:$F$1001,0)</f>
        <v>Saint Augustine</v>
      </c>
    </row>
    <row r="470" ht="15.75" customHeight="1">
      <c r="A470" s="1" t="s">
        <v>945</v>
      </c>
      <c r="B470" s="2">
        <v>44023.0</v>
      </c>
      <c r="C470" s="1" t="s">
        <v>946</v>
      </c>
      <c r="D470" s="3" t="s">
        <v>22</v>
      </c>
      <c r="E470" s="1">
        <v>3.0</v>
      </c>
      <c r="F470" s="1" t="str">
        <f t="array" ref="F470">XLOOKUP(C470,customers!A469:A1469, customers!B469:B1469,0)</f>
        <v>Julius Mccaull</v>
      </c>
      <c r="G470" s="1" t="str">
        <f t="array" ref="G470">IF(XLOOKUP(C471,customers!$A$1:$A$1001,customers!$C$1:$C$1001,0)=0,"",XLOOKUP(C471,customers!$A$1:$A$1001,customers!$C$1:$C$1001,0))</f>
        <v>abrashda@plala.or.jp</v>
      </c>
      <c r="H470" s="1" t="str">
        <f t="array" ref="H470">XLOOKUP(C470,customers!$A$1:$A$1001,customers!$F$1:$F$1001,0)</f>
        <v>San Rafael</v>
      </c>
    </row>
    <row r="471" ht="15.75" customHeight="1">
      <c r="A471" s="1" t="s">
        <v>947</v>
      </c>
      <c r="B471" s="2">
        <v>44375.0</v>
      </c>
      <c r="C471" s="1" t="s">
        <v>948</v>
      </c>
      <c r="D471" s="3" t="s">
        <v>267</v>
      </c>
      <c r="E471" s="1">
        <v>5.0</v>
      </c>
      <c r="F471" s="1" t="str">
        <f t="array" ref="F471">XLOOKUP(C471,customers!A470:A1470, customers!B470:B1470,0)</f>
        <v>Ailey Brash</v>
      </c>
      <c r="G471" s="1" t="str">
        <f t="array" ref="G471">IF(XLOOKUP(C472,customers!$A$1:$A$1001,customers!$C$1:$C$1001,0)=0,"",XLOOKUP(C472,customers!$A$1:$A$1001,customers!$C$1:$C$1001,0))</f>
        <v>ahutchinsond2@imgur.com</v>
      </c>
      <c r="H471" s="1" t="str">
        <f t="array" ref="H471">XLOOKUP(C471,customers!$A$1:$A$1001,customers!$F$1:$F$1001,0)</f>
        <v>Flushing</v>
      </c>
    </row>
    <row r="472" ht="15.75" customHeight="1">
      <c r="A472" s="1" t="s">
        <v>949</v>
      </c>
      <c r="B472" s="2">
        <v>44656.0</v>
      </c>
      <c r="C472" s="1" t="s">
        <v>950</v>
      </c>
      <c r="D472" s="3" t="s">
        <v>80</v>
      </c>
      <c r="E472" s="1">
        <v>1.0</v>
      </c>
      <c r="F472" s="1" t="str">
        <f t="array" ref="F472">XLOOKUP(C472,customers!A471:A1471, customers!B471:B1471,0)</f>
        <v>Alberto Hutchinson</v>
      </c>
      <c r="G472" s="1" t="str">
        <f t="array" ref="G472">IF(XLOOKUP(C473,customers!$A$1:$A$1001,customers!$C$1:$C$1001,0)=0,"",XLOOKUP(C473,customers!$A$1:$A$1001,customers!$C$1:$C$1001,0))</f>
        <v/>
      </c>
      <c r="H472" s="1" t="str">
        <f t="array" ref="H472">XLOOKUP(C472,customers!$A$1:$A$1001,customers!$F$1:$F$1001,0)</f>
        <v>Lawrenceville</v>
      </c>
    </row>
    <row r="473" ht="15.75" customHeight="1">
      <c r="A473" s="1" t="s">
        <v>951</v>
      </c>
      <c r="B473" s="2">
        <v>44644.0</v>
      </c>
      <c r="C473" s="1" t="s">
        <v>952</v>
      </c>
      <c r="D473" s="3" t="s">
        <v>210</v>
      </c>
      <c r="E473" s="1">
        <v>4.0</v>
      </c>
      <c r="F473" s="1" t="str">
        <f t="array" ref="F473">XLOOKUP(C473,customers!A472:A1472, customers!B472:B1472,0)</f>
        <v>Lamond Gheeraert</v>
      </c>
      <c r="G473" s="1" t="str">
        <f t="array" ref="G473">IF(XLOOKUP(C474,customers!$A$1:$A$1001,customers!$C$1:$C$1001,0)=0,"",XLOOKUP(C474,customers!$A$1:$A$1001,customers!$C$1:$C$1001,0))</f>
        <v>rdriversd4@hexun.com</v>
      </c>
      <c r="H473" s="1" t="str">
        <f t="array" ref="H473">XLOOKUP(C473,customers!$A$1:$A$1001,customers!$F$1:$F$1001,0)</f>
        <v>Topeka</v>
      </c>
    </row>
    <row r="474" ht="15.75" customHeight="1">
      <c r="A474" s="1" t="s">
        <v>953</v>
      </c>
      <c r="B474" s="2">
        <v>43869.0</v>
      </c>
      <c r="C474" s="1" t="s">
        <v>954</v>
      </c>
      <c r="D474" s="3" t="s">
        <v>67</v>
      </c>
      <c r="E474" s="1">
        <v>2.0</v>
      </c>
      <c r="F474" s="1" t="str">
        <f t="array" ref="F474">XLOOKUP(C474,customers!A473:A1473, customers!B473:B1473,0)</f>
        <v>Roxine Drivers</v>
      </c>
      <c r="G474" s="1" t="str">
        <f t="array" ref="G474">IF(XLOOKUP(C475,customers!$A$1:$A$1001,customers!$C$1:$C$1001,0)=0,"",XLOOKUP(C475,customers!$A$1:$A$1001,customers!$C$1:$C$1001,0))</f>
        <v>hzeald5@google.de</v>
      </c>
      <c r="H474" s="1" t="str">
        <f t="array" ref="H474">XLOOKUP(C474,customers!$A$1:$A$1001,customers!$F$1:$F$1001,0)</f>
        <v>Shawnee Mission</v>
      </c>
    </row>
    <row r="475" ht="15.75" customHeight="1">
      <c r="A475" s="1" t="s">
        <v>955</v>
      </c>
      <c r="B475" s="2">
        <v>44603.0</v>
      </c>
      <c r="C475" s="1" t="s">
        <v>956</v>
      </c>
      <c r="D475" s="3" t="s">
        <v>19</v>
      </c>
      <c r="E475" s="1">
        <v>2.0</v>
      </c>
      <c r="F475" s="1" t="str">
        <f t="array" ref="F475">XLOOKUP(C475,customers!A474:A1474, customers!B474:B1474,0)</f>
        <v>Heloise Zeal</v>
      </c>
      <c r="G475" s="1" t="str">
        <f t="array" ref="G475">IF(XLOOKUP(C476,customers!$A$1:$A$1001,customers!$C$1:$C$1001,0)=0,"",XLOOKUP(C476,customers!$A$1:$A$1001,customers!$C$1:$C$1001,0))</f>
        <v>gsmallcombed6@ucla.edu</v>
      </c>
      <c r="H475" s="1" t="str">
        <f t="array" ref="H475">XLOOKUP(C475,customers!$A$1:$A$1001,customers!$F$1:$F$1001,0)</f>
        <v>Seattle</v>
      </c>
    </row>
    <row r="476" ht="15.75" customHeight="1">
      <c r="A476" s="1" t="s">
        <v>957</v>
      </c>
      <c r="B476" s="2">
        <v>44014.0</v>
      </c>
      <c r="C476" s="1" t="s">
        <v>958</v>
      </c>
      <c r="D476" s="3" t="s">
        <v>125</v>
      </c>
      <c r="E476" s="1">
        <v>1.0</v>
      </c>
      <c r="F476" s="1" t="str">
        <f t="array" ref="F476">XLOOKUP(C476,customers!A475:A1475, customers!B475:B1475,0)</f>
        <v>Granger Smallcombe</v>
      </c>
      <c r="G476" s="1" t="str">
        <f t="array" ref="G476">IF(XLOOKUP(C477,customers!$A$1:$A$1001,customers!$C$1:$C$1001,0)=0,"",XLOOKUP(C477,customers!$A$1:$A$1001,customers!$C$1:$C$1001,0))</f>
        <v>ddibleyd7@feedburner.com</v>
      </c>
      <c r="H476" s="1" t="str">
        <f t="array" ref="H476">XLOOKUP(C476,customers!$A$1:$A$1001,customers!$F$1:$F$1001,0)</f>
        <v>Kilkenny</v>
      </c>
    </row>
    <row r="477" ht="15.75" customHeight="1">
      <c r="A477" s="1" t="s">
        <v>959</v>
      </c>
      <c r="B477" s="2">
        <v>44767.0</v>
      </c>
      <c r="C477" s="1" t="s">
        <v>960</v>
      </c>
      <c r="D477" s="3" t="s">
        <v>90</v>
      </c>
      <c r="E477" s="1">
        <v>2.0</v>
      </c>
      <c r="F477" s="1" t="str">
        <f t="array" ref="F477">XLOOKUP(C477,customers!A476:A1476, customers!B476:B1476,0)</f>
        <v>Daryn Dibley</v>
      </c>
      <c r="G477" s="1" t="str">
        <f t="array" ref="G477">IF(XLOOKUP(C478,customers!$A$1:$A$1001,customers!$C$1:$C$1001,0)=0,"",XLOOKUP(C478,customers!$A$1:$A$1001,customers!$C$1:$C$1001,0))</f>
        <v>gdimitrioud8@chronoengine.com</v>
      </c>
      <c r="H477" s="1" t="str">
        <f t="array" ref="H477">XLOOKUP(C477,customers!$A$1:$A$1001,customers!$F$1:$F$1001,0)</f>
        <v>Kissimmee</v>
      </c>
    </row>
    <row r="478" ht="15.75" customHeight="1">
      <c r="A478" s="1" t="s">
        <v>961</v>
      </c>
      <c r="B478" s="2">
        <v>44274.0</v>
      </c>
      <c r="C478" s="1" t="s">
        <v>962</v>
      </c>
      <c r="D478" s="3" t="s">
        <v>267</v>
      </c>
      <c r="E478" s="1">
        <v>6.0</v>
      </c>
      <c r="F478" s="1" t="str">
        <f t="array" ref="F478">XLOOKUP(C478,customers!A477:A1477, customers!B477:B1477,0)</f>
        <v>Gardy Dimitriou</v>
      </c>
      <c r="G478" s="1" t="str">
        <f t="array" ref="G478">IF(XLOOKUP(C479,customers!$A$1:$A$1001,customers!$C$1:$C$1001,0)=0,"",XLOOKUP(C479,customers!$A$1:$A$1001,customers!$C$1:$C$1001,0))</f>
        <v>fflanagand9@woothemes.com</v>
      </c>
      <c r="H478" s="1" t="str">
        <f t="array" ref="H478">XLOOKUP(C478,customers!$A$1:$A$1001,customers!$F$1:$F$1001,0)</f>
        <v>Rochester</v>
      </c>
    </row>
    <row r="479" ht="15.75" customHeight="1">
      <c r="A479" s="1" t="s">
        <v>963</v>
      </c>
      <c r="B479" s="2">
        <v>43962.0</v>
      </c>
      <c r="C479" s="1" t="s">
        <v>964</v>
      </c>
      <c r="D479" s="3" t="s">
        <v>90</v>
      </c>
      <c r="E479" s="1">
        <v>6.0</v>
      </c>
      <c r="F479" s="1" t="str">
        <f t="array" ref="F479">XLOOKUP(C479,customers!A478:A1478, customers!B478:B1478,0)</f>
        <v>Fanny Flanagan</v>
      </c>
      <c r="G479" s="1" t="str">
        <f t="array" ref="G479">IF(XLOOKUP(C480,customers!$A$1:$A$1001,customers!$C$1:$C$1001,0)=0,"",XLOOKUP(C480,customers!$A$1:$A$1001,customers!$C$1:$C$1001,0))</f>
        <v>abrashda@plala.or.jp</v>
      </c>
      <c r="H479" s="1" t="str">
        <f t="array" ref="H479">XLOOKUP(C479,customers!$A$1:$A$1001,customers!$F$1:$F$1001,0)</f>
        <v>Tyler</v>
      </c>
    </row>
    <row r="480" ht="15.75" customHeight="1">
      <c r="A480" s="1" t="s">
        <v>965</v>
      </c>
      <c r="B480" s="2">
        <v>43624.0</v>
      </c>
      <c r="C480" s="1" t="s">
        <v>948</v>
      </c>
      <c r="D480" s="3" t="s">
        <v>192</v>
      </c>
      <c r="E480" s="1">
        <v>6.0</v>
      </c>
      <c r="F480" s="1" t="str">
        <f t="array" ref="F480">XLOOKUP(C480,customers!A479:A1479, customers!B479:B1479,0)</f>
        <v>Ailey Brash</v>
      </c>
      <c r="G480" s="1" t="str">
        <f t="array" ref="G480">IF(XLOOKUP(C481,customers!$A$1:$A$1001,customers!$C$1:$C$1001,0)=0,"",XLOOKUP(C481,customers!$A$1:$A$1001,customers!$C$1:$C$1001,0))</f>
        <v>abrashda@plala.or.jp</v>
      </c>
      <c r="H480" s="1" t="str">
        <f t="array" ref="H480">XLOOKUP(C480,customers!$A$1:$A$1001,customers!$F$1:$F$1001,0)</f>
        <v>Flushing</v>
      </c>
    </row>
    <row r="481" ht="15.75" customHeight="1">
      <c r="A481" s="1" t="s">
        <v>965</v>
      </c>
      <c r="B481" s="2">
        <v>43624.0</v>
      </c>
      <c r="C481" s="1" t="s">
        <v>948</v>
      </c>
      <c r="D481" s="3" t="s">
        <v>125</v>
      </c>
      <c r="E481" s="1">
        <v>4.0</v>
      </c>
      <c r="F481" s="1" t="str">
        <f t="array" ref="F481">XLOOKUP(C481,customers!A480:A1480, customers!B480:B1480,0)</f>
        <v>Ailey Brash</v>
      </c>
      <c r="G481" s="1" t="str">
        <f t="array" ref="G481">IF(XLOOKUP(C482,customers!$A$1:$A$1001,customers!$C$1:$C$1001,0)=0,"",XLOOKUP(C482,customers!$A$1:$A$1001,customers!$C$1:$C$1001,0))</f>
        <v>abrashda@plala.or.jp</v>
      </c>
      <c r="H481" s="1" t="str">
        <f t="array" ref="H481">XLOOKUP(C481,customers!$A$1:$A$1001,customers!$F$1:$F$1001,0)</f>
        <v>Flushing</v>
      </c>
    </row>
    <row r="482" ht="15.75" customHeight="1">
      <c r="A482" s="1" t="s">
        <v>965</v>
      </c>
      <c r="B482" s="2">
        <v>43624.0</v>
      </c>
      <c r="C482" s="1" t="s">
        <v>948</v>
      </c>
      <c r="D482" s="3" t="s">
        <v>77</v>
      </c>
      <c r="E482" s="1">
        <v>1.0</v>
      </c>
      <c r="F482" s="1">
        <f t="array" ref="F482">XLOOKUP(C482,customers!A481:A1481, customers!B481:B1481,0)</f>
        <v>0</v>
      </c>
      <c r="G482" s="1" t="str">
        <f t="array" ref="G482">IF(XLOOKUP(C483,customers!$A$1:$A$1001,customers!$C$1:$C$1001,0)=0,"",XLOOKUP(C483,customers!$A$1:$A$1001,customers!$C$1:$C$1001,0))</f>
        <v>nizhakovdd@aol.com</v>
      </c>
      <c r="H482" s="1" t="str">
        <f t="array" ref="H482">XLOOKUP(C482,customers!$A$1:$A$1001,customers!$F$1:$F$1001,0)</f>
        <v>Flushing</v>
      </c>
    </row>
    <row r="483" ht="15.75" customHeight="1">
      <c r="A483" s="1" t="s">
        <v>966</v>
      </c>
      <c r="B483" s="2">
        <v>43747.0</v>
      </c>
      <c r="C483" s="1" t="s">
        <v>967</v>
      </c>
      <c r="D483" s="3" t="s">
        <v>202</v>
      </c>
      <c r="E483" s="1">
        <v>2.0</v>
      </c>
      <c r="F483" s="1" t="str">
        <f t="array" ref="F483">XLOOKUP(C483,customers!A482:A1482, customers!B482:B1482,0)</f>
        <v>Nanny Izhakov</v>
      </c>
      <c r="G483" s="1" t="str">
        <f t="array" ref="G483">IF(XLOOKUP(C484,customers!$A$1:$A$1001,customers!$C$1:$C$1001,0)=0,"",XLOOKUP(C484,customers!$A$1:$A$1001,customers!$C$1:$C$1001,0))</f>
        <v>skeetsde@answers.com</v>
      </c>
      <c r="H483" s="1" t="str">
        <f t="array" ref="H483">XLOOKUP(C483,customers!$A$1:$A$1001,customers!$F$1:$F$1001,0)</f>
        <v>Seaton</v>
      </c>
    </row>
    <row r="484" ht="15.75" customHeight="1">
      <c r="A484" s="1" t="s">
        <v>968</v>
      </c>
      <c r="B484" s="2">
        <v>44247.0</v>
      </c>
      <c r="C484" s="1" t="s">
        <v>969</v>
      </c>
      <c r="D484" s="3" t="s">
        <v>543</v>
      </c>
      <c r="E484" s="1">
        <v>5.0</v>
      </c>
      <c r="F484" s="1" t="str">
        <f t="array" ref="F484">XLOOKUP(C484,customers!A483:A1483, customers!B483:B1483,0)</f>
        <v>Stanly Keets</v>
      </c>
      <c r="G484" s="1" t="str">
        <f t="array" ref="G484">IF(XLOOKUP(C485,customers!$A$1:$A$1001,customers!$C$1:$C$1001,0)=0,"",XLOOKUP(C485,customers!$A$1:$A$1001,customers!$C$1:$C$1001,0))</f>
        <v/>
      </c>
      <c r="H484" s="1" t="str">
        <f t="array" ref="H484">XLOOKUP(C484,customers!$A$1:$A$1001,customers!$F$1:$F$1001,0)</f>
        <v>Alexandria</v>
      </c>
    </row>
    <row r="485" ht="15.75" customHeight="1">
      <c r="A485" s="1" t="s">
        <v>970</v>
      </c>
      <c r="B485" s="2">
        <v>43790.0</v>
      </c>
      <c r="C485" s="1" t="s">
        <v>971</v>
      </c>
      <c r="D485" s="3" t="s">
        <v>122</v>
      </c>
      <c r="E485" s="1">
        <v>2.0</v>
      </c>
      <c r="F485" s="1" t="str">
        <f t="array" ref="F485">XLOOKUP(C485,customers!A484:A1484, customers!B484:B1484,0)</f>
        <v>Orion Dyott</v>
      </c>
      <c r="G485" s="1" t="str">
        <f t="array" ref="G485">IF(XLOOKUP(C486,customers!$A$1:$A$1001,customers!$C$1:$C$1001,0)=0,"",XLOOKUP(C486,customers!$A$1:$A$1001,customers!$C$1:$C$1001,0))</f>
        <v>kcakedg@huffingtonpost.com</v>
      </c>
      <c r="H485" s="1" t="str">
        <f t="array" ref="H485">XLOOKUP(C485,customers!$A$1:$A$1001,customers!$F$1:$F$1001,0)</f>
        <v>Salt Lake City</v>
      </c>
    </row>
    <row r="486" ht="15.75" customHeight="1">
      <c r="A486" s="1" t="s">
        <v>972</v>
      </c>
      <c r="B486" s="2">
        <v>44479.0</v>
      </c>
      <c r="C486" s="1" t="s">
        <v>973</v>
      </c>
      <c r="D486" s="3" t="s">
        <v>96</v>
      </c>
      <c r="E486" s="1">
        <v>6.0</v>
      </c>
      <c r="F486" s="1" t="str">
        <f t="array" ref="F486">XLOOKUP(C486,customers!A485:A1485, customers!B485:B1485,0)</f>
        <v>Keefer Cake</v>
      </c>
      <c r="G486" s="1" t="str">
        <f t="array" ref="G486">IF(XLOOKUP(C487,customers!$A$1:$A$1001,customers!$C$1:$C$1001,0)=0,"",XLOOKUP(C487,customers!$A$1:$A$1001,customers!$C$1:$C$1001,0))</f>
        <v>mhanseddh@instagram.com</v>
      </c>
      <c r="H486" s="1" t="str">
        <f t="array" ref="H486">XLOOKUP(C486,customers!$A$1:$A$1001,customers!$F$1:$F$1001,0)</f>
        <v>San Jose</v>
      </c>
    </row>
    <row r="487" ht="15.75" customHeight="1">
      <c r="A487" s="1" t="s">
        <v>974</v>
      </c>
      <c r="B487" s="2">
        <v>44413.0</v>
      </c>
      <c r="C487" s="1" t="s">
        <v>975</v>
      </c>
      <c r="D487" s="3" t="s">
        <v>195</v>
      </c>
      <c r="E487" s="1">
        <v>6.0</v>
      </c>
      <c r="F487" s="1" t="str">
        <f t="array" ref="F487">XLOOKUP(C487,customers!A486:A1486, customers!B486:B1486,0)</f>
        <v>Morna Hansed</v>
      </c>
      <c r="G487" s="1" t="str">
        <f t="array" ref="G487">IF(XLOOKUP(C488,customers!$A$1:$A$1001,customers!$C$1:$C$1001,0)=0,"",XLOOKUP(C488,customers!$A$1:$A$1001,customers!$C$1:$C$1001,0))</f>
        <v>fkienleindi@trellian.com</v>
      </c>
      <c r="H487" s="1" t="str">
        <f t="array" ref="H487">XLOOKUP(C487,customers!$A$1:$A$1001,customers!$F$1:$F$1001,0)</f>
        <v>Tr谩 Mh贸r</v>
      </c>
    </row>
    <row r="488" ht="15.75" customHeight="1">
      <c r="A488" s="1" t="s">
        <v>976</v>
      </c>
      <c r="B488" s="2">
        <v>44043.0</v>
      </c>
      <c r="C488" s="1" t="s">
        <v>977</v>
      </c>
      <c r="D488" s="3" t="s">
        <v>91</v>
      </c>
      <c r="E488" s="1">
        <v>6.0</v>
      </c>
      <c r="F488" s="1" t="str">
        <f t="array" ref="F488">XLOOKUP(C488,customers!A487:A1487, customers!B487:B1487,0)</f>
        <v>Franny Kienlein</v>
      </c>
      <c r="G488" s="1" t="str">
        <f t="array" ref="G488">IF(XLOOKUP(C489,customers!$A$1:$A$1001,customers!$C$1:$C$1001,0)=0,"",XLOOKUP(C489,customers!$A$1:$A$1001,customers!$C$1:$C$1001,0))</f>
        <v>kegglestonedj@sphinn.com</v>
      </c>
      <c r="H488" s="1" t="str">
        <f t="array" ref="H488">XLOOKUP(C488,customers!$A$1:$A$1001,customers!$F$1:$F$1001,0)</f>
        <v>Coolock</v>
      </c>
    </row>
    <row r="489" ht="15.75" customHeight="1">
      <c r="A489" s="1" t="s">
        <v>978</v>
      </c>
      <c r="B489" s="2">
        <v>44093.0</v>
      </c>
      <c r="C489" s="1" t="s">
        <v>979</v>
      </c>
      <c r="D489" s="3" t="s">
        <v>258</v>
      </c>
      <c r="E489" s="1">
        <v>6.0</v>
      </c>
      <c r="F489" s="1" t="str">
        <f t="array" ref="F489">XLOOKUP(C489,customers!A488:A1488, customers!B488:B1488,0)</f>
        <v>Klarika Egglestone</v>
      </c>
      <c r="G489" s="1" t="str">
        <f t="array" ref="G489">IF(XLOOKUP(C490,customers!$A$1:$A$1001,customers!$C$1:$C$1001,0)=0,"",XLOOKUP(C490,customers!$A$1:$A$1001,customers!$C$1:$C$1001,0))</f>
        <v>bsemkinsdk@unc.edu</v>
      </c>
      <c r="H489" s="1" t="str">
        <f t="array" ref="H489">XLOOKUP(C489,customers!$A$1:$A$1001,customers!$F$1:$F$1001,0)</f>
        <v>Coolock</v>
      </c>
    </row>
    <row r="490" ht="15.75" customHeight="1">
      <c r="A490" s="1" t="s">
        <v>980</v>
      </c>
      <c r="B490" s="2">
        <v>43954.0</v>
      </c>
      <c r="C490" s="1" t="s">
        <v>981</v>
      </c>
      <c r="D490" s="3" t="s">
        <v>175</v>
      </c>
      <c r="E490" s="1">
        <v>5.0</v>
      </c>
      <c r="F490" s="1" t="str">
        <f t="array" ref="F490">XLOOKUP(C490,customers!A489:A1489, customers!B489:B1489,0)</f>
        <v>Becky Semkins</v>
      </c>
      <c r="G490" s="1" t="str">
        <f t="array" ref="G490">IF(XLOOKUP(C491,customers!$A$1:$A$1001,customers!$C$1:$C$1001,0)=0,"",XLOOKUP(C491,customers!$A$1:$A$1001,customers!$C$1:$C$1001,0))</f>
        <v>slorenzettidl@is.gd</v>
      </c>
      <c r="H490" s="1" t="str">
        <f t="array" ref="H490">XLOOKUP(C490,customers!$A$1:$A$1001,customers!$F$1:$F$1001,0)</f>
        <v>Kinnegad</v>
      </c>
    </row>
    <row r="491" ht="15.75" customHeight="1">
      <c r="A491" s="1" t="s">
        <v>982</v>
      </c>
      <c r="B491" s="2">
        <v>43654.0</v>
      </c>
      <c r="C491" s="1" t="s">
        <v>983</v>
      </c>
      <c r="D491" s="3" t="s">
        <v>145</v>
      </c>
      <c r="E491" s="1">
        <v>6.0</v>
      </c>
      <c r="F491" s="1" t="str">
        <f t="array" ref="F491">XLOOKUP(C491,customers!A490:A1490, customers!B490:B1490,0)</f>
        <v>Sean Lorenzetti</v>
      </c>
      <c r="G491" s="1" t="str">
        <f t="array" ref="G491">IF(XLOOKUP(C492,customers!$A$1:$A$1001,customers!$C$1:$C$1001,0)=0,"",XLOOKUP(C492,customers!$A$1:$A$1001,customers!$C$1:$C$1001,0))</f>
        <v>bgiannazzidm@apple.com</v>
      </c>
      <c r="H491" s="1" t="str">
        <f t="array" ref="H491">XLOOKUP(C491,customers!$A$1:$A$1001,customers!$F$1:$F$1001,0)</f>
        <v>El Paso</v>
      </c>
    </row>
    <row r="492" ht="15.75" customHeight="1">
      <c r="A492" s="1" t="s">
        <v>984</v>
      </c>
      <c r="B492" s="2">
        <v>43764.0</v>
      </c>
      <c r="C492" s="1" t="s">
        <v>985</v>
      </c>
      <c r="D492" s="3" t="s">
        <v>136</v>
      </c>
      <c r="E492" s="1">
        <v>2.0</v>
      </c>
      <c r="F492" s="1" t="str">
        <f t="array" ref="F492">XLOOKUP(C492,customers!A491:A1491, customers!B491:B1491,0)</f>
        <v>Bob Giannazzi</v>
      </c>
      <c r="G492" s="1" t="str">
        <f t="array" ref="G492">IF(XLOOKUP(C493,customers!$A$1:$A$1001,customers!$C$1:$C$1001,0)=0,"",XLOOKUP(C493,customers!$A$1:$A$1001,customers!$C$1:$C$1001,0))</f>
        <v/>
      </c>
      <c r="H492" s="1" t="str">
        <f t="array" ref="H492">XLOOKUP(C492,customers!$A$1:$A$1001,customers!$F$1:$F$1001,0)</f>
        <v>Fort Lauderdale</v>
      </c>
    </row>
    <row r="493" ht="15.75" customHeight="1">
      <c r="A493" s="1" t="s">
        <v>986</v>
      </c>
      <c r="B493" s="2">
        <v>44101.0</v>
      </c>
      <c r="C493" s="1" t="s">
        <v>987</v>
      </c>
      <c r="D493" s="3" t="s">
        <v>51</v>
      </c>
      <c r="E493" s="1">
        <v>6.0</v>
      </c>
      <c r="F493" s="1" t="str">
        <f t="array" ref="F493">XLOOKUP(C493,customers!A492:A1492, customers!B492:B1492,0)</f>
        <v>Kendra Backshell</v>
      </c>
      <c r="G493" s="1" t="str">
        <f t="array" ref="G493">IF(XLOOKUP(C494,customers!$A$1:$A$1001,customers!$C$1:$C$1001,0)=0,"",XLOOKUP(C494,customers!$A$1:$A$1001,customers!$C$1:$C$1001,0))</f>
        <v>ulethbrigdo@hc360.com</v>
      </c>
      <c r="H493" s="1" t="str">
        <f t="array" ref="H493">XLOOKUP(C493,customers!$A$1:$A$1001,customers!$F$1:$F$1001,0)</f>
        <v>Indianapolis</v>
      </c>
    </row>
    <row r="494" ht="15.75" customHeight="1">
      <c r="A494" s="1" t="s">
        <v>988</v>
      </c>
      <c r="B494" s="2">
        <v>44620.0</v>
      </c>
      <c r="C494" s="1" t="s">
        <v>989</v>
      </c>
      <c r="D494" s="3" t="s">
        <v>77</v>
      </c>
      <c r="E494" s="1">
        <v>1.0</v>
      </c>
      <c r="F494" s="1" t="str">
        <f t="array" ref="F494">XLOOKUP(C494,customers!A493:A1493, customers!B493:B1493,0)</f>
        <v>Uriah Lethbrig</v>
      </c>
      <c r="G494" s="1" t="str">
        <f t="array" ref="G494">IF(XLOOKUP(C495,customers!$A$1:$A$1001,customers!$C$1:$C$1001,0)=0,"",XLOOKUP(C495,customers!$A$1:$A$1001,customers!$C$1:$C$1001,0))</f>
        <v>sfarnishdp@dmoz.org</v>
      </c>
      <c r="H494" s="1" t="str">
        <f t="array" ref="H494">XLOOKUP(C494,customers!$A$1:$A$1001,customers!$F$1:$F$1001,0)</f>
        <v>Milwaukee</v>
      </c>
    </row>
    <row r="495" ht="15.75" customHeight="1">
      <c r="A495" s="1" t="s">
        <v>990</v>
      </c>
      <c r="B495" s="2">
        <v>44090.0</v>
      </c>
      <c r="C495" s="1" t="s">
        <v>991</v>
      </c>
      <c r="D495" s="3" t="s">
        <v>35</v>
      </c>
      <c r="E495" s="1">
        <v>6.0</v>
      </c>
      <c r="F495" s="1" t="str">
        <f t="array" ref="F495">XLOOKUP(C495,customers!A494:A1494, customers!B494:B1494,0)</f>
        <v>Sky Farnish</v>
      </c>
      <c r="G495" s="1" t="str">
        <f t="array" ref="G495">IF(XLOOKUP(C496,customers!$A$1:$A$1001,customers!$C$1:$C$1001,0)=0,"",XLOOKUP(C496,customers!$A$1:$A$1001,customers!$C$1:$C$1001,0))</f>
        <v>fjecockdq@unicef.org</v>
      </c>
      <c r="H495" s="1" t="str">
        <f t="array" ref="H495">XLOOKUP(C495,customers!$A$1:$A$1001,customers!$F$1:$F$1001,0)</f>
        <v>Eaton</v>
      </c>
    </row>
    <row r="496" ht="15.75" customHeight="1">
      <c r="A496" s="1" t="s">
        <v>992</v>
      </c>
      <c r="B496" s="2">
        <v>44132.0</v>
      </c>
      <c r="C496" s="1" t="s">
        <v>993</v>
      </c>
      <c r="D496" s="3" t="s">
        <v>145</v>
      </c>
      <c r="E496" s="1">
        <v>2.0</v>
      </c>
      <c r="F496" s="1" t="str">
        <f t="array" ref="F496">XLOOKUP(C496,customers!A495:A1495, customers!B495:B1495,0)</f>
        <v>Felicia Jecock</v>
      </c>
      <c r="G496" s="1" t="str">
        <f t="array" ref="G496">IF(XLOOKUP(C497,customers!$A$1:$A$1001,customers!$C$1:$C$1001,0)=0,"",XLOOKUP(C497,customers!$A$1:$A$1001,customers!$C$1:$C$1001,0))</f>
        <v/>
      </c>
      <c r="H496" s="1" t="str">
        <f t="array" ref="H496">XLOOKUP(C496,customers!$A$1:$A$1001,customers!$F$1:$F$1001,0)</f>
        <v>Baton Rouge</v>
      </c>
    </row>
    <row r="497" ht="15.75" customHeight="1">
      <c r="A497" s="1" t="s">
        <v>994</v>
      </c>
      <c r="B497" s="2">
        <v>43710.0</v>
      </c>
      <c r="C497" s="1" t="s">
        <v>995</v>
      </c>
      <c r="D497" s="3" t="s">
        <v>145</v>
      </c>
      <c r="E497" s="1">
        <v>5.0</v>
      </c>
      <c r="F497" s="1" t="str">
        <f t="array" ref="F497">XLOOKUP(C497,customers!A496:A1496, customers!B496:B1496,0)</f>
        <v>Currey MacAllister</v>
      </c>
      <c r="G497" s="1" t="str">
        <f t="array" ref="G497">IF(XLOOKUP(C498,customers!$A$1:$A$1001,customers!$C$1:$C$1001,0)=0,"",XLOOKUP(C498,customers!$A$1:$A$1001,customers!$C$1:$C$1001,0))</f>
        <v>hpallisterds@ning.com</v>
      </c>
      <c r="H497" s="1" t="str">
        <f t="array" ref="H497">XLOOKUP(C497,customers!$A$1:$A$1001,customers!$F$1:$F$1001,0)</f>
        <v>Danbury</v>
      </c>
    </row>
    <row r="498" ht="15.75" customHeight="1">
      <c r="A498" s="1" t="s">
        <v>996</v>
      </c>
      <c r="B498" s="2">
        <v>44438.0</v>
      </c>
      <c r="C498" s="1" t="s">
        <v>997</v>
      </c>
      <c r="D498" s="3" t="s">
        <v>64</v>
      </c>
      <c r="E498" s="1">
        <v>3.0</v>
      </c>
      <c r="F498" s="1" t="str">
        <f t="array" ref="F498">XLOOKUP(C498,customers!A497:A1497, customers!B497:B1497,0)</f>
        <v>Hamlen Pallister</v>
      </c>
      <c r="G498" s="1" t="str">
        <f t="array" ref="G498">IF(XLOOKUP(C499,customers!$A$1:$A$1001,customers!$C$1:$C$1001,0)=0,"",XLOOKUP(C499,customers!$A$1:$A$1001,customers!$C$1:$C$1001,0))</f>
        <v>cmershdt@drupal.org</v>
      </c>
      <c r="H498" s="1" t="str">
        <f t="array" ref="H498">XLOOKUP(C498,customers!$A$1:$A$1001,customers!$F$1:$F$1001,0)</f>
        <v>Pensacola</v>
      </c>
    </row>
    <row r="499" ht="15.75" customHeight="1">
      <c r="A499" s="1" t="s">
        <v>998</v>
      </c>
      <c r="B499" s="2">
        <v>44351.0</v>
      </c>
      <c r="C499" s="1" t="s">
        <v>999</v>
      </c>
      <c r="D499" s="3" t="s">
        <v>40</v>
      </c>
      <c r="E499" s="1">
        <v>4.0</v>
      </c>
      <c r="F499" s="1" t="str">
        <f t="array" ref="F499">XLOOKUP(C499,customers!A498:A1498, customers!B498:B1498,0)</f>
        <v>Chantal Mersh</v>
      </c>
      <c r="G499" s="1" t="str">
        <f t="array" ref="G499">IF(XLOOKUP(C500,customers!$A$1:$A$1001,customers!$C$1:$C$1001,0)=0,"",XLOOKUP(C500,customers!$A$1:$A$1001,customers!$C$1:$C$1001,0))</f>
        <v>murione5@alexa.com</v>
      </c>
      <c r="H499" s="1" t="str">
        <f t="array" ref="H499">XLOOKUP(C499,customers!$A$1:$A$1001,customers!$F$1:$F$1001,0)</f>
        <v>Milltown</v>
      </c>
    </row>
    <row r="500" ht="15.75" customHeight="1">
      <c r="A500" s="1" t="s">
        <v>1000</v>
      </c>
      <c r="B500" s="2">
        <v>44159.0</v>
      </c>
      <c r="C500" s="1" t="s">
        <v>1001</v>
      </c>
      <c r="D500" s="3" t="s">
        <v>15</v>
      </c>
      <c r="E500" s="1">
        <v>5.0</v>
      </c>
      <c r="F500" s="1" t="str">
        <f t="array" ref="F500">XLOOKUP(C500,customers!A499:A1499, customers!B499:B1499,0)</f>
        <v>Marja Urion</v>
      </c>
      <c r="G500" s="1" t="str">
        <f t="array" ref="G500">IF(XLOOKUP(C501,customers!$A$1:$A$1001,customers!$C$1:$C$1001,0)=0,"",XLOOKUP(C501,customers!$A$1:$A$1001,customers!$C$1:$C$1001,0))</f>
        <v/>
      </c>
      <c r="H500" s="1" t="str">
        <f t="array" ref="H500">XLOOKUP(C500,customers!$A$1:$A$1001,customers!$F$1:$F$1001,0)</f>
        <v>Virginia</v>
      </c>
    </row>
    <row r="501" ht="15.75" customHeight="1">
      <c r="A501" s="1" t="s">
        <v>1002</v>
      </c>
      <c r="B501" s="2">
        <v>44003.0</v>
      </c>
      <c r="C501" s="1" t="s">
        <v>1003</v>
      </c>
      <c r="D501" s="3" t="s">
        <v>114</v>
      </c>
      <c r="E501" s="1">
        <v>3.0</v>
      </c>
      <c r="F501" s="1" t="str">
        <f t="array" ref="F501">XLOOKUP(C501,customers!A500:A1500, customers!B500:B1500,0)</f>
        <v>Malynda Purbrick</v>
      </c>
      <c r="G501" s="1" t="str">
        <f t="array" ref="G501">IF(XLOOKUP(C502,customers!$A$1:$A$1001,customers!$C$1:$C$1001,0)=0,"",XLOOKUP(C502,customers!$A$1:$A$1001,customers!$C$1:$C$1001,0))</f>
        <v/>
      </c>
      <c r="H501" s="1" t="str">
        <f t="array" ref="H501">XLOOKUP(C501,customers!$A$1:$A$1001,customers!$F$1:$F$1001,0)</f>
        <v>Balally</v>
      </c>
    </row>
    <row r="502" ht="15.75" customHeight="1">
      <c r="A502" s="1" t="s">
        <v>1004</v>
      </c>
      <c r="B502" s="2">
        <v>44025.0</v>
      </c>
      <c r="C502" s="1" t="s">
        <v>1005</v>
      </c>
      <c r="D502" s="3" t="s">
        <v>202</v>
      </c>
      <c r="E502" s="1">
        <v>4.0</v>
      </c>
      <c r="F502" s="1" t="str">
        <f t="array" ref="F502">XLOOKUP(C502,customers!A501:A1501, customers!B501:B1501,0)</f>
        <v>Alf Housaman</v>
      </c>
      <c r="G502" s="1" t="str">
        <f t="array" ref="G502">IF(XLOOKUP(C503,customers!$A$1:$A$1001,customers!$C$1:$C$1001,0)=0,"",XLOOKUP(C503,customers!$A$1:$A$1001,customers!$C$1:$C$1001,0))</f>
        <v>gduckerdx@patch.com</v>
      </c>
      <c r="H502" s="1" t="str">
        <f t="array" ref="H502">XLOOKUP(C502,customers!$A$1:$A$1001,customers!$F$1:$F$1001,0)</f>
        <v>Grand Rapids</v>
      </c>
    </row>
    <row r="503" ht="15.75" customHeight="1">
      <c r="A503" s="1" t="s">
        <v>1006</v>
      </c>
      <c r="B503" s="2">
        <v>43467.0</v>
      </c>
      <c r="C503" s="1" t="s">
        <v>1007</v>
      </c>
      <c r="D503" s="3" t="s">
        <v>175</v>
      </c>
      <c r="E503" s="1">
        <v>4.0</v>
      </c>
      <c r="F503" s="1" t="str">
        <f t="array" ref="F503">XLOOKUP(C503,customers!A502:A1502, customers!B502:B1502,0)</f>
        <v>Gladi Ducker</v>
      </c>
      <c r="G503" s="1" t="str">
        <f t="array" ref="G503">IF(XLOOKUP(C504,customers!$A$1:$A$1001,customers!$C$1:$C$1001,0)=0,"",XLOOKUP(C504,customers!$A$1:$A$1001,customers!$C$1:$C$1001,0))</f>
        <v>gduckerdx@patch.com</v>
      </c>
      <c r="H503" s="1" t="str">
        <f t="array" ref="H503">XLOOKUP(C503,customers!$A$1:$A$1001,customers!$F$1:$F$1001,0)</f>
        <v>Belfast</v>
      </c>
    </row>
    <row r="504" ht="15.75" customHeight="1">
      <c r="A504" s="1" t="s">
        <v>1006</v>
      </c>
      <c r="B504" s="2">
        <v>43467.0</v>
      </c>
      <c r="C504" s="1" t="s">
        <v>1007</v>
      </c>
      <c r="D504" s="3" t="s">
        <v>77</v>
      </c>
      <c r="E504" s="1">
        <v>4.0</v>
      </c>
      <c r="F504" s="1" t="str">
        <f t="array" ref="F504">XLOOKUP(C504,customers!A503:A1503, customers!B503:B1503,0)</f>
        <v>Gladi Ducker</v>
      </c>
      <c r="G504" s="1" t="str">
        <f t="array" ref="G504">IF(XLOOKUP(C505,customers!$A$1:$A$1001,customers!$C$1:$C$1001,0)=0,"",XLOOKUP(C505,customers!$A$1:$A$1001,customers!$C$1:$C$1001,0))</f>
        <v>gduckerdx@patch.com</v>
      </c>
      <c r="H504" s="1" t="str">
        <f t="array" ref="H504">XLOOKUP(C504,customers!$A$1:$A$1001,customers!$F$1:$F$1001,0)</f>
        <v>Belfast</v>
      </c>
    </row>
    <row r="505" ht="15.75" customHeight="1">
      <c r="A505" s="1" t="s">
        <v>1006</v>
      </c>
      <c r="B505" s="2">
        <v>43467.0</v>
      </c>
      <c r="C505" s="1" t="s">
        <v>1007</v>
      </c>
      <c r="D505" s="3" t="s">
        <v>26</v>
      </c>
      <c r="E505" s="1">
        <v>4.0</v>
      </c>
      <c r="F505" s="1">
        <f t="array" ref="F505">XLOOKUP(C505,customers!A504:A1504, customers!B504:B1504,0)</f>
        <v>0</v>
      </c>
      <c r="G505" s="1" t="str">
        <f t="array" ref="G505">IF(XLOOKUP(C506,customers!$A$1:$A$1001,customers!$C$1:$C$1001,0)=0,"",XLOOKUP(C506,customers!$A$1:$A$1001,customers!$C$1:$C$1001,0))</f>
        <v>gduckerdx@patch.com</v>
      </c>
      <c r="H505" s="1" t="str">
        <f t="array" ref="H505">XLOOKUP(C505,customers!$A$1:$A$1001,customers!$F$1:$F$1001,0)</f>
        <v>Belfast</v>
      </c>
    </row>
    <row r="506" ht="15.75" customHeight="1">
      <c r="A506" s="1" t="s">
        <v>1006</v>
      </c>
      <c r="B506" s="2">
        <v>43467.0</v>
      </c>
      <c r="C506" s="1" t="s">
        <v>1007</v>
      </c>
      <c r="D506" s="3" t="s">
        <v>32</v>
      </c>
      <c r="E506" s="1">
        <v>3.0</v>
      </c>
      <c r="F506" s="1">
        <f t="array" ref="F506">XLOOKUP(C506,customers!A505:A1505, customers!B505:B1505,0)</f>
        <v>0</v>
      </c>
      <c r="G506" s="1" t="str">
        <f t="array" ref="G506">IF(XLOOKUP(C507,customers!$A$1:$A$1001,customers!$C$1:$C$1001,0)=0,"",XLOOKUP(C507,customers!$A$1:$A$1001,customers!$C$1:$C$1001,0))</f>
        <v>wstearleye1@census.gov</v>
      </c>
      <c r="H506" s="1" t="str">
        <f t="array" ref="H506">XLOOKUP(C506,customers!$A$1:$A$1001,customers!$F$1:$F$1001,0)</f>
        <v>Belfast</v>
      </c>
    </row>
    <row r="507" ht="15.75" customHeight="1">
      <c r="A507" s="1" t="s">
        <v>1008</v>
      </c>
      <c r="B507" s="2">
        <v>44609.0</v>
      </c>
      <c r="C507" s="1" t="s">
        <v>1009</v>
      </c>
      <c r="D507" s="3" t="s">
        <v>90</v>
      </c>
      <c r="E507" s="1">
        <v>6.0</v>
      </c>
      <c r="F507" s="1" t="str">
        <f t="array" ref="F507">XLOOKUP(C507,customers!A506:A1506, customers!B506:B1506,0)</f>
        <v>Wain Stearley</v>
      </c>
      <c r="G507" s="1" t="str">
        <f t="array" ref="G507">IF(XLOOKUP(C508,customers!$A$1:$A$1001,customers!$C$1:$C$1001,0)=0,"",XLOOKUP(C508,customers!$A$1:$A$1001,customers!$C$1:$C$1001,0))</f>
        <v>dwincere2@marriott.com</v>
      </c>
      <c r="H507" s="1" t="str">
        <f t="array" ref="H507">XLOOKUP(C507,customers!$A$1:$A$1001,customers!$F$1:$F$1001,0)</f>
        <v>High Point</v>
      </c>
    </row>
    <row r="508" ht="15.75" customHeight="1">
      <c r="A508" s="1" t="s">
        <v>1010</v>
      </c>
      <c r="B508" s="2">
        <v>44184.0</v>
      </c>
      <c r="C508" s="1" t="s">
        <v>1011</v>
      </c>
      <c r="D508" s="3" t="s">
        <v>19</v>
      </c>
      <c r="E508" s="1">
        <v>2.0</v>
      </c>
      <c r="F508" s="1" t="str">
        <f t="array" ref="F508">XLOOKUP(C508,customers!A507:A1507, customers!B507:B1507,0)</f>
        <v>Diane-marie Wincer</v>
      </c>
      <c r="G508" s="1" t="str">
        <f t="array" ref="G508">IF(XLOOKUP(C509,customers!$A$1:$A$1001,customers!$C$1:$C$1001,0)=0,"",XLOOKUP(C509,customers!$A$1:$A$1001,customers!$C$1:$C$1001,0))</f>
        <v>plyfielde3@baidu.com</v>
      </c>
      <c r="H508" s="1" t="str">
        <f t="array" ref="H508">XLOOKUP(C508,customers!$A$1:$A$1001,customers!$F$1:$F$1001,0)</f>
        <v>El Paso</v>
      </c>
    </row>
    <row r="509" ht="15.75" customHeight="1">
      <c r="A509" s="1" t="s">
        <v>1012</v>
      </c>
      <c r="B509" s="2">
        <v>43516.0</v>
      </c>
      <c r="C509" s="1" t="s">
        <v>1013</v>
      </c>
      <c r="D509" s="3" t="s">
        <v>217</v>
      </c>
      <c r="E509" s="1">
        <v>3.0</v>
      </c>
      <c r="F509" s="1" t="str">
        <f t="array" ref="F509">XLOOKUP(C509,customers!A508:A1508, customers!B508:B1508,0)</f>
        <v>Perry Lyfield</v>
      </c>
      <c r="G509" s="1" t="str">
        <f t="array" ref="G509">IF(XLOOKUP(C510,customers!$A$1:$A$1001,customers!$C$1:$C$1001,0)=0,"",XLOOKUP(C510,customers!$A$1:$A$1001,customers!$C$1:$C$1001,0))</f>
        <v>hperrise4@studiopress.com</v>
      </c>
      <c r="H509" s="1" t="str">
        <f t="array" ref="H509">XLOOKUP(C509,customers!$A$1:$A$1001,customers!$F$1:$F$1001,0)</f>
        <v>Cleveland</v>
      </c>
    </row>
    <row r="510" ht="15.75" customHeight="1">
      <c r="A510" s="1" t="s">
        <v>1014</v>
      </c>
      <c r="B510" s="2">
        <v>44210.0</v>
      </c>
      <c r="C510" s="1" t="s">
        <v>1015</v>
      </c>
      <c r="D510" s="3" t="s">
        <v>136</v>
      </c>
      <c r="E510" s="1">
        <v>6.0</v>
      </c>
      <c r="F510" s="1" t="str">
        <f t="array" ref="F510">XLOOKUP(C510,customers!A509:A1509, customers!B509:B1509,0)</f>
        <v>Heall Perris</v>
      </c>
      <c r="G510" s="1" t="str">
        <f t="array" ref="G510">IF(XLOOKUP(C511,customers!$A$1:$A$1001,customers!$C$1:$C$1001,0)=0,"",XLOOKUP(C511,customers!$A$1:$A$1001,customers!$C$1:$C$1001,0))</f>
        <v>murione5@alexa.com</v>
      </c>
      <c r="H510" s="1" t="str">
        <f t="array" ref="H510">XLOOKUP(C510,customers!$A$1:$A$1001,customers!$F$1:$F$1001,0)</f>
        <v>Ballymahon</v>
      </c>
    </row>
    <row r="511" ht="15.75" customHeight="1">
      <c r="A511" s="1" t="s">
        <v>1016</v>
      </c>
      <c r="B511" s="2">
        <v>43785.0</v>
      </c>
      <c r="C511" s="1" t="s">
        <v>1001</v>
      </c>
      <c r="D511" s="3" t="s">
        <v>40</v>
      </c>
      <c r="E511" s="1">
        <v>3.0</v>
      </c>
      <c r="F511" s="1" t="str">
        <f t="array" ref="F511">XLOOKUP(C511,customers!A510:A1510, customers!B510:B1510,0)</f>
        <v>Marja Urion</v>
      </c>
      <c r="G511" s="1" t="str">
        <f t="array" ref="G511">IF(XLOOKUP(C512,customers!$A$1:$A$1001,customers!$C$1:$C$1001,0)=0,"",XLOOKUP(C512,customers!$A$1:$A$1001,customers!$C$1:$C$1001,0))</f>
        <v>ckide6@narod.ru</v>
      </c>
      <c r="H511" s="1" t="str">
        <f t="array" ref="H511">XLOOKUP(C511,customers!$A$1:$A$1001,customers!$F$1:$F$1001,0)</f>
        <v>Virginia</v>
      </c>
    </row>
    <row r="512" ht="15.75" customHeight="1">
      <c r="A512" s="1" t="s">
        <v>1017</v>
      </c>
      <c r="B512" s="2">
        <v>43803.0</v>
      </c>
      <c r="C512" s="1" t="s">
        <v>1018</v>
      </c>
      <c r="D512" s="3" t="s">
        <v>195</v>
      </c>
      <c r="E512" s="1">
        <v>3.0</v>
      </c>
      <c r="F512" s="1" t="str">
        <f t="array" ref="F512">XLOOKUP(C512,customers!A511:A1511, customers!B511:B1511,0)</f>
        <v>Camellia Kid</v>
      </c>
      <c r="G512" s="1" t="str">
        <f t="array" ref="G512">IF(XLOOKUP(C513,customers!$A$1:$A$1001,customers!$C$1:$C$1001,0)=0,"",XLOOKUP(C513,customers!$A$1:$A$1001,customers!$C$1:$C$1001,0))</f>
        <v>cbeinee7@xinhuanet.com</v>
      </c>
      <c r="H512" s="1" t="str">
        <f t="array" ref="H512">XLOOKUP(C512,customers!$A$1:$A$1001,customers!$F$1:$F$1001,0)</f>
        <v>Whitegate</v>
      </c>
    </row>
    <row r="513" ht="15.75" customHeight="1">
      <c r="A513" s="1" t="s">
        <v>1019</v>
      </c>
      <c r="B513" s="2">
        <v>44043.0</v>
      </c>
      <c r="C513" s="1" t="s">
        <v>1020</v>
      </c>
      <c r="D513" s="3" t="s">
        <v>57</v>
      </c>
      <c r="E513" s="1">
        <v>4.0</v>
      </c>
      <c r="F513" s="1" t="str">
        <f t="array" ref="F513">XLOOKUP(C513,customers!A512:A1512, customers!B512:B1512,0)</f>
        <v>Carolann Beine</v>
      </c>
      <c r="G513" s="1" t="str">
        <f t="array" ref="G513">IF(XLOOKUP(C514,customers!$A$1:$A$1001,customers!$C$1:$C$1001,0)=0,"",XLOOKUP(C514,customers!$A$1:$A$1001,customers!$C$1:$C$1001,0))</f>
        <v>cbakeupe8@globo.com</v>
      </c>
      <c r="H513" s="1" t="str">
        <f t="array" ref="H513">XLOOKUP(C513,customers!$A$1:$A$1001,customers!$F$1:$F$1001,0)</f>
        <v>Birmingham</v>
      </c>
    </row>
    <row r="514" ht="15.75" customHeight="1">
      <c r="A514" s="1" t="s">
        <v>1021</v>
      </c>
      <c r="B514" s="2">
        <v>43535.0</v>
      </c>
      <c r="C514" s="1" t="s">
        <v>1022</v>
      </c>
      <c r="D514" s="3" t="s">
        <v>145</v>
      </c>
      <c r="E514" s="1">
        <v>3.0</v>
      </c>
      <c r="F514" s="1" t="str">
        <f t="array" ref="F514">XLOOKUP(C514,customers!A513:A1513, customers!B513:B1513,0)</f>
        <v>Celia Bakeup</v>
      </c>
      <c r="G514" s="1" t="str">
        <f t="array" ref="G514">IF(XLOOKUP(C515,customers!$A$1:$A$1001,customers!$C$1:$C$1001,0)=0,"",XLOOKUP(C515,customers!$A$1:$A$1001,customers!$C$1:$C$1001,0))</f>
        <v>nhelkine9@example.com</v>
      </c>
      <c r="H514" s="1" t="str">
        <f t="array" ref="H514">XLOOKUP(C514,customers!$A$1:$A$1001,customers!$F$1:$F$1001,0)</f>
        <v>Saint Cloud</v>
      </c>
    </row>
    <row r="515" ht="15.75" customHeight="1">
      <c r="A515" s="1" t="s">
        <v>1023</v>
      </c>
      <c r="B515" s="2">
        <v>44691.0</v>
      </c>
      <c r="C515" s="1" t="s">
        <v>1024</v>
      </c>
      <c r="D515" s="3" t="s">
        <v>145</v>
      </c>
      <c r="E515" s="1">
        <v>5.0</v>
      </c>
      <c r="F515" s="1" t="str">
        <f t="array" ref="F515">XLOOKUP(C515,customers!A514:A1514, customers!B514:B1514,0)</f>
        <v>Nataniel Helkin</v>
      </c>
      <c r="G515" s="1" t="str">
        <f t="array" ref="G515">IF(XLOOKUP(C516,customers!$A$1:$A$1001,customers!$C$1:$C$1001,0)=0,"",XLOOKUP(C516,customers!$A$1:$A$1001,customers!$C$1:$C$1001,0))</f>
        <v>pwitheringtonea@networkadvertising.org</v>
      </c>
      <c r="H515" s="1" t="str">
        <f t="array" ref="H515">XLOOKUP(C515,customers!$A$1:$A$1001,customers!$F$1:$F$1001,0)</f>
        <v>Philadelphia</v>
      </c>
    </row>
    <row r="516" ht="15.75" customHeight="1">
      <c r="A516" s="1" t="s">
        <v>1025</v>
      </c>
      <c r="B516" s="2">
        <v>44555.0</v>
      </c>
      <c r="C516" s="1" t="s">
        <v>1026</v>
      </c>
      <c r="D516" s="3" t="s">
        <v>90</v>
      </c>
      <c r="E516" s="1">
        <v>6.0</v>
      </c>
      <c r="F516" s="1" t="str">
        <f t="array" ref="F516">XLOOKUP(C516,customers!A515:A1515, customers!B515:B1515,0)</f>
        <v>Pippo Witherington</v>
      </c>
      <c r="G516" s="1" t="str">
        <f t="array" ref="G516">IF(XLOOKUP(C517,customers!$A$1:$A$1001,customers!$C$1:$C$1001,0)=0,"",XLOOKUP(C517,customers!$A$1:$A$1001,customers!$C$1:$C$1001,0))</f>
        <v>ttilzeyeb@hostgator.com</v>
      </c>
      <c r="H516" s="1" t="str">
        <f t="array" ref="H516">XLOOKUP(C516,customers!$A$1:$A$1001,customers!$F$1:$F$1001,0)</f>
        <v>Detroit</v>
      </c>
    </row>
    <row r="517" ht="15.75" customHeight="1">
      <c r="A517" s="1" t="s">
        <v>1027</v>
      </c>
      <c r="B517" s="2">
        <v>44673.0</v>
      </c>
      <c r="C517" s="1" t="s">
        <v>1028</v>
      </c>
      <c r="D517" s="3" t="s">
        <v>170</v>
      </c>
      <c r="E517" s="1">
        <v>3.0</v>
      </c>
      <c r="F517" s="1" t="str">
        <f t="array" ref="F517">XLOOKUP(C517,customers!A516:A1516, customers!B516:B1516,0)</f>
        <v>Tildie Tilzey</v>
      </c>
      <c r="G517" s="1" t="str">
        <f t="array" ref="G517">IF(XLOOKUP(C518,customers!$A$1:$A$1001,customers!$C$1:$C$1001,0)=0,"",XLOOKUP(C518,customers!$A$1:$A$1001,customers!$C$1:$C$1001,0))</f>
        <v/>
      </c>
      <c r="H517" s="1" t="str">
        <f t="array" ref="H517">XLOOKUP(C517,customers!$A$1:$A$1001,customers!$F$1:$F$1001,0)</f>
        <v>Saint Louis</v>
      </c>
    </row>
    <row r="518" ht="15.75" customHeight="1">
      <c r="A518" s="1" t="s">
        <v>1029</v>
      </c>
      <c r="B518" s="2">
        <v>44723.0</v>
      </c>
      <c r="C518" s="1" t="s">
        <v>1030</v>
      </c>
      <c r="D518" s="3" t="s">
        <v>48</v>
      </c>
      <c r="E518" s="1">
        <v>5.0</v>
      </c>
      <c r="F518" s="1" t="str">
        <f t="array" ref="F518">XLOOKUP(C518,customers!A517:A1517, customers!B517:B1517,0)</f>
        <v>Cindra Burling</v>
      </c>
      <c r="G518" s="1" t="str">
        <f t="array" ref="G518">IF(XLOOKUP(C519,customers!$A$1:$A$1001,customers!$C$1:$C$1001,0)=0,"",XLOOKUP(C519,customers!$A$1:$A$1001,customers!$C$1:$C$1001,0))</f>
        <v/>
      </c>
      <c r="H518" s="1" t="str">
        <f t="array" ref="H518">XLOOKUP(C518,customers!$A$1:$A$1001,customers!$F$1:$F$1001,0)</f>
        <v>Schenectady</v>
      </c>
    </row>
    <row r="519" ht="15.75" customHeight="1">
      <c r="A519" s="1" t="s">
        <v>1031</v>
      </c>
      <c r="B519" s="2">
        <v>44678.0</v>
      </c>
      <c r="C519" s="1" t="s">
        <v>1032</v>
      </c>
      <c r="D519" s="3" t="s">
        <v>51</v>
      </c>
      <c r="E519" s="1">
        <v>2.0</v>
      </c>
      <c r="F519" s="1" t="str">
        <f t="array" ref="F519">XLOOKUP(C519,customers!A518:A1518, customers!B518:B1518,0)</f>
        <v>Channa Belamy</v>
      </c>
      <c r="G519" s="1" t="str">
        <f t="array" ref="G519">IF(XLOOKUP(C520,customers!$A$1:$A$1001,customers!$C$1:$C$1001,0)=0,"",XLOOKUP(C520,customers!$A$1:$A$1001,customers!$C$1:$C$1001,0))</f>
        <v>kimortsee@alexa.com</v>
      </c>
      <c r="H519" s="1" t="str">
        <f t="array" ref="H519">XLOOKUP(C519,customers!$A$1:$A$1001,customers!$F$1:$F$1001,0)</f>
        <v>Lakeland</v>
      </c>
    </row>
    <row r="520" ht="15.75" customHeight="1">
      <c r="A520" s="1" t="s">
        <v>1033</v>
      </c>
      <c r="B520" s="2">
        <v>44194.0</v>
      </c>
      <c r="C520" s="1" t="s">
        <v>1034</v>
      </c>
      <c r="D520" s="3" t="s">
        <v>543</v>
      </c>
      <c r="E520" s="1">
        <v>5.0</v>
      </c>
      <c r="F520" s="1" t="str">
        <f t="array" ref="F520">XLOOKUP(C520,customers!A519:A1519, customers!B519:B1519,0)</f>
        <v>Karl Imorts</v>
      </c>
      <c r="G520" s="1" t="str">
        <f t="array" ref="G520">IF(XLOOKUP(C521,customers!$A$1:$A$1001,customers!$C$1:$C$1001,0)=0,"",XLOOKUP(C521,customers!$A$1:$A$1001,customers!$C$1:$C$1001,0))</f>
        <v>murione5@alexa.com</v>
      </c>
      <c r="H520" s="1" t="str">
        <f t="array" ref="H520">XLOOKUP(C520,customers!$A$1:$A$1001,customers!$F$1:$F$1001,0)</f>
        <v>Melbourne</v>
      </c>
    </row>
    <row r="521" ht="15.75" customHeight="1">
      <c r="A521" s="1" t="s">
        <v>1035</v>
      </c>
      <c r="B521" s="2">
        <v>44026.0</v>
      </c>
      <c r="C521" s="1" t="s">
        <v>1001</v>
      </c>
      <c r="D521" s="3" t="s">
        <v>85</v>
      </c>
      <c r="E521" s="1">
        <v>2.0</v>
      </c>
      <c r="F521" s="1">
        <f t="array" ref="F521">XLOOKUP(C521,customers!A520:A1520, customers!B520:B1520,0)</f>
        <v>0</v>
      </c>
      <c r="G521" s="1" t="str">
        <f t="array" ref="G521">IF(XLOOKUP(C522,customers!$A$1:$A$1001,customers!$C$1:$C$1001,0)=0,"",XLOOKUP(C522,customers!$A$1:$A$1001,customers!$C$1:$C$1001,0))</f>
        <v>marmisteadeg@blogtalkradio.com</v>
      </c>
      <c r="H521" s="1" t="str">
        <f t="array" ref="H521">XLOOKUP(C521,customers!$A$1:$A$1001,customers!$F$1:$F$1001,0)</f>
        <v>Virginia</v>
      </c>
    </row>
    <row r="522" ht="15.75" customHeight="1">
      <c r="A522" s="1" t="s">
        <v>1036</v>
      </c>
      <c r="B522" s="2">
        <v>44446.0</v>
      </c>
      <c r="C522" s="1" t="s">
        <v>1037</v>
      </c>
      <c r="D522" s="3" t="s">
        <v>51</v>
      </c>
      <c r="E522" s="1">
        <v>1.0</v>
      </c>
      <c r="F522" s="1" t="str">
        <f t="array" ref="F522">XLOOKUP(C522,customers!A521:A1521, customers!B521:B1521,0)</f>
        <v>Mag Armistead</v>
      </c>
      <c r="G522" s="1" t="str">
        <f t="array" ref="G522">IF(XLOOKUP(C523,customers!$A$1:$A$1001,customers!$C$1:$C$1001,0)=0,"",XLOOKUP(C523,customers!$A$1:$A$1001,customers!$C$1:$C$1001,0))</f>
        <v>marmisteadeg@blogtalkradio.com</v>
      </c>
      <c r="H522" s="1" t="str">
        <f t="array" ref="H522">XLOOKUP(C522,customers!$A$1:$A$1001,customers!$F$1:$F$1001,0)</f>
        <v>New Orleans</v>
      </c>
    </row>
    <row r="523" ht="15.75" customHeight="1">
      <c r="A523" s="1" t="s">
        <v>1036</v>
      </c>
      <c r="B523" s="2">
        <v>44446.0</v>
      </c>
      <c r="C523" s="1" t="s">
        <v>1037</v>
      </c>
      <c r="D523" s="3" t="s">
        <v>15</v>
      </c>
      <c r="E523" s="1">
        <v>4.0</v>
      </c>
      <c r="F523" s="1" t="str">
        <f t="array" ref="F523">XLOOKUP(C523,customers!A522:A1522, customers!B522:B1522,0)</f>
        <v>Mag Armistead</v>
      </c>
      <c r="G523" s="1" t="str">
        <f t="array" ref="G523">IF(XLOOKUP(C524,customers!$A$1:$A$1001,customers!$C$1:$C$1001,0)=0,"",XLOOKUP(C524,customers!$A$1:$A$1001,customers!$C$1:$C$1001,0))</f>
        <v>vupstoneei@google.pl</v>
      </c>
      <c r="H523" s="1" t="str">
        <f t="array" ref="H523">XLOOKUP(C523,customers!$A$1:$A$1001,customers!$F$1:$F$1001,0)</f>
        <v>New Orleans</v>
      </c>
    </row>
    <row r="524" ht="15.75" customHeight="1">
      <c r="A524" s="1" t="s">
        <v>1038</v>
      </c>
      <c r="B524" s="2">
        <v>43625.0</v>
      </c>
      <c r="C524" s="1" t="s">
        <v>1039</v>
      </c>
      <c r="D524" s="3" t="s">
        <v>35</v>
      </c>
      <c r="E524" s="1">
        <v>5.0</v>
      </c>
      <c r="F524" s="1" t="str">
        <f t="array" ref="F524">XLOOKUP(C524,customers!A523:A1523, customers!B523:B1523,0)</f>
        <v>Vasili Upstone</v>
      </c>
      <c r="G524" s="1" t="str">
        <f t="array" ref="G524">IF(XLOOKUP(C525,customers!$A$1:$A$1001,customers!$C$1:$C$1001,0)=0,"",XLOOKUP(C525,customers!$A$1:$A$1001,customers!$C$1:$C$1001,0))</f>
        <v>bbeelbyej@rediff.com</v>
      </c>
      <c r="H524" s="1" t="str">
        <f t="array" ref="H524">XLOOKUP(C524,customers!$A$1:$A$1001,customers!$F$1:$F$1001,0)</f>
        <v>Topeka</v>
      </c>
    </row>
    <row r="525" ht="15.75" customHeight="1">
      <c r="A525" s="1" t="s">
        <v>1040</v>
      </c>
      <c r="B525" s="2">
        <v>44129.0</v>
      </c>
      <c r="C525" s="1" t="s">
        <v>1041</v>
      </c>
      <c r="D525" s="3" t="s">
        <v>122</v>
      </c>
      <c r="E525" s="1">
        <v>1.0</v>
      </c>
      <c r="F525" s="1" t="str">
        <f t="array" ref="F525">XLOOKUP(C525,customers!A524:A1524, customers!B524:B1524,0)</f>
        <v>Berty Beelby</v>
      </c>
      <c r="G525" s="1" t="str">
        <f t="array" ref="G525">IF(XLOOKUP(C526,customers!$A$1:$A$1001,customers!$C$1:$C$1001,0)=0,"",XLOOKUP(C526,customers!$A$1:$A$1001,customers!$C$1:$C$1001,0))</f>
        <v/>
      </c>
      <c r="H525" s="1" t="str">
        <f t="array" ref="H525">XLOOKUP(C525,customers!$A$1:$A$1001,customers!$F$1:$F$1001,0)</f>
        <v>Lucan</v>
      </c>
    </row>
    <row r="526" ht="15.75" customHeight="1">
      <c r="A526" s="1" t="s">
        <v>1042</v>
      </c>
      <c r="B526" s="2">
        <v>44255.0</v>
      </c>
      <c r="C526" s="1" t="s">
        <v>1043</v>
      </c>
      <c r="D526" s="3" t="s">
        <v>117</v>
      </c>
      <c r="E526" s="1">
        <v>2.0</v>
      </c>
      <c r="F526" s="1" t="str">
        <f t="array" ref="F526">XLOOKUP(C526,customers!A525:A1525, customers!B525:B1525,0)</f>
        <v>Erny Stenyng</v>
      </c>
      <c r="G526" s="1" t="str">
        <f t="array" ref="G526">IF(XLOOKUP(C527,customers!$A$1:$A$1001,customers!$C$1:$C$1001,0)=0,"",XLOOKUP(C527,customers!$A$1:$A$1001,customers!$C$1:$C$1001,0))</f>
        <v/>
      </c>
      <c r="H526" s="1" t="str">
        <f t="array" ref="H526">XLOOKUP(C526,customers!$A$1:$A$1001,customers!$F$1:$F$1001,0)</f>
        <v>Springfield</v>
      </c>
    </row>
    <row r="527" ht="15.75" customHeight="1">
      <c r="A527" s="1" t="s">
        <v>1044</v>
      </c>
      <c r="B527" s="2">
        <v>44038.0</v>
      </c>
      <c r="C527" s="1" t="s">
        <v>1045</v>
      </c>
      <c r="D527" s="3" t="s">
        <v>114</v>
      </c>
      <c r="E527" s="1">
        <v>5.0</v>
      </c>
      <c r="F527" s="1" t="str">
        <f t="array" ref="F527">XLOOKUP(C527,customers!A526:A1526, customers!B526:B1526,0)</f>
        <v>Edin Yantsurev</v>
      </c>
      <c r="G527" s="1" t="str">
        <f t="array" ref="G527">IF(XLOOKUP(C528,customers!$A$1:$A$1001,customers!$C$1:$C$1001,0)=0,"",XLOOKUP(C528,customers!$A$1:$A$1001,customers!$C$1:$C$1001,0))</f>
        <v>wspeechlyem@amazon.com</v>
      </c>
      <c r="H527" s="1" t="str">
        <f t="array" ref="H527">XLOOKUP(C527,customers!$A$1:$A$1001,customers!$F$1:$F$1001,0)</f>
        <v>Camden</v>
      </c>
    </row>
    <row r="528" ht="15.75" customHeight="1">
      <c r="A528" s="1" t="s">
        <v>1046</v>
      </c>
      <c r="B528" s="2">
        <v>44717.0</v>
      </c>
      <c r="C528" s="1" t="s">
        <v>1047</v>
      </c>
      <c r="D528" s="3" t="s">
        <v>125</v>
      </c>
      <c r="E528" s="1">
        <v>4.0</v>
      </c>
      <c r="F528" s="1" t="str">
        <f t="array" ref="F528">XLOOKUP(C528,customers!A527:A1527, customers!B527:B1527,0)</f>
        <v>Webb Speechly</v>
      </c>
      <c r="G528" s="1" t="str">
        <f t="array" ref="G528">IF(XLOOKUP(C529,customers!$A$1:$A$1001,customers!$C$1:$C$1001,0)=0,"",XLOOKUP(C529,customers!$A$1:$A$1001,customers!$C$1:$C$1001,0))</f>
        <v>iphillpoten@buzzfeed.com</v>
      </c>
      <c r="H528" s="1" t="str">
        <f t="array" ref="H528">XLOOKUP(C528,customers!$A$1:$A$1001,customers!$F$1:$F$1001,0)</f>
        <v>Seattle</v>
      </c>
    </row>
    <row r="529" ht="15.75" customHeight="1">
      <c r="A529" s="1" t="s">
        <v>1048</v>
      </c>
      <c r="B529" s="2">
        <v>43517.0</v>
      </c>
      <c r="C529" s="1" t="s">
        <v>1049</v>
      </c>
      <c r="D529" s="3" t="s">
        <v>16</v>
      </c>
      <c r="E529" s="1">
        <v>5.0</v>
      </c>
      <c r="F529" s="1" t="str">
        <f t="array" ref="F529">XLOOKUP(C529,customers!A528:A1528, customers!B528:B1528,0)</f>
        <v>Irvine Phillpot</v>
      </c>
      <c r="G529" s="1" t="str">
        <f t="array" ref="G529">IF(XLOOKUP(C530,customers!$A$1:$A$1001,customers!$C$1:$C$1001,0)=0,"",XLOOKUP(C530,customers!$A$1:$A$1001,customers!$C$1:$C$1001,0))</f>
        <v>lpennaccieo@statcounter.com</v>
      </c>
      <c r="H529" s="1" t="str">
        <f t="array" ref="H529">XLOOKUP(C529,customers!$A$1:$A$1001,customers!$F$1:$F$1001,0)</f>
        <v>Wootton</v>
      </c>
    </row>
    <row r="530" ht="15.75" customHeight="1">
      <c r="A530" s="1" t="s">
        <v>1050</v>
      </c>
      <c r="B530" s="2">
        <v>43926.0</v>
      </c>
      <c r="C530" s="1" t="s">
        <v>1051</v>
      </c>
      <c r="D530" s="3" t="s">
        <v>189</v>
      </c>
      <c r="E530" s="1">
        <v>6.0</v>
      </c>
      <c r="F530" s="1" t="str">
        <f t="array" ref="F530">XLOOKUP(C530,customers!A529:A1529, customers!B529:B1529,0)</f>
        <v>Lem Pennacci</v>
      </c>
      <c r="G530" s="1" t="str">
        <f t="array" ref="G530">IF(XLOOKUP(C531,customers!$A$1:$A$1001,customers!$C$1:$C$1001,0)=0,"",XLOOKUP(C531,customers!$A$1:$A$1001,customers!$C$1:$C$1001,0))</f>
        <v>sarpinep@moonfruit.com</v>
      </c>
      <c r="H530" s="1" t="str">
        <f t="array" ref="H530">XLOOKUP(C530,customers!$A$1:$A$1001,customers!$F$1:$F$1001,0)</f>
        <v>Waco</v>
      </c>
    </row>
    <row r="531" ht="15.75" customHeight="1">
      <c r="A531" s="1" t="s">
        <v>1052</v>
      </c>
      <c r="B531" s="2">
        <v>43475.0</v>
      </c>
      <c r="C531" s="1" t="s">
        <v>1053</v>
      </c>
      <c r="D531" s="3" t="s">
        <v>15</v>
      </c>
      <c r="E531" s="1">
        <v>6.0</v>
      </c>
      <c r="F531" s="1" t="str">
        <f t="array" ref="F531">XLOOKUP(C531,customers!A530:A1530, customers!B530:B1530,0)</f>
        <v>Starr Arpin</v>
      </c>
      <c r="G531" s="1" t="str">
        <f t="array" ref="G531">IF(XLOOKUP(C532,customers!$A$1:$A$1001,customers!$C$1:$C$1001,0)=0,"",XLOOKUP(C532,customers!$A$1:$A$1001,customers!$C$1:$C$1001,0))</f>
        <v>dfrieseq@cargocollective.com</v>
      </c>
      <c r="H531" s="1" t="str">
        <f t="array" ref="H531">XLOOKUP(C531,customers!$A$1:$A$1001,customers!$F$1:$F$1001,0)</f>
        <v>Richmond</v>
      </c>
    </row>
    <row r="532" ht="15.75" customHeight="1">
      <c r="A532" s="1" t="s">
        <v>1054</v>
      </c>
      <c r="B532" s="2">
        <v>44663.0</v>
      </c>
      <c r="C532" s="1" t="s">
        <v>1055</v>
      </c>
      <c r="D532" s="3" t="s">
        <v>15</v>
      </c>
      <c r="E532" s="1">
        <v>6.0</v>
      </c>
      <c r="F532" s="1" t="str">
        <f t="array" ref="F532">XLOOKUP(C532,customers!A531:A1531, customers!B531:B1531,0)</f>
        <v>Donny Fries</v>
      </c>
      <c r="G532" s="1" t="str">
        <f t="array" ref="G532">IF(XLOOKUP(C533,customers!$A$1:$A$1001,customers!$C$1:$C$1001,0)=0,"",XLOOKUP(C533,customers!$A$1:$A$1001,customers!$C$1:$C$1001,0))</f>
        <v>rsharerer@flavors.me</v>
      </c>
      <c r="H532" s="1" t="str">
        <f t="array" ref="H532">XLOOKUP(C532,customers!$A$1:$A$1001,customers!$F$1:$F$1001,0)</f>
        <v>Toledo</v>
      </c>
    </row>
    <row r="533" ht="15.75" customHeight="1">
      <c r="A533" s="1" t="s">
        <v>1056</v>
      </c>
      <c r="B533" s="2">
        <v>44591.0</v>
      </c>
      <c r="C533" s="1" t="s">
        <v>1057</v>
      </c>
      <c r="D533" s="3" t="s">
        <v>192</v>
      </c>
      <c r="E533" s="1">
        <v>5.0</v>
      </c>
      <c r="F533" s="1" t="str">
        <f t="array" ref="F533">XLOOKUP(C533,customers!A532:A1532, customers!B532:B1532,0)</f>
        <v>Rana Sharer</v>
      </c>
      <c r="G533" s="1" t="str">
        <f t="array" ref="G533">IF(XLOOKUP(C534,customers!$A$1:$A$1001,customers!$C$1:$C$1001,0)=0,"",XLOOKUP(C534,customers!$A$1:$A$1001,customers!$C$1:$C$1001,0))</f>
        <v>nnasebyes@umich.edu</v>
      </c>
      <c r="H533" s="1" t="str">
        <f t="array" ref="H533">XLOOKUP(C533,customers!$A$1:$A$1001,customers!$F$1:$F$1001,0)</f>
        <v>Huntington</v>
      </c>
    </row>
    <row r="534" ht="15.75" customHeight="1">
      <c r="A534" s="1" t="s">
        <v>1058</v>
      </c>
      <c r="B534" s="2">
        <v>44330.0</v>
      </c>
      <c r="C534" s="1" t="s">
        <v>1059</v>
      </c>
      <c r="D534" s="3" t="s">
        <v>16</v>
      </c>
      <c r="E534" s="1">
        <v>2.0</v>
      </c>
      <c r="F534" s="1" t="str">
        <f t="array" ref="F534">XLOOKUP(C534,customers!A533:A1533, customers!B533:B1533,0)</f>
        <v>Nannie Naseby</v>
      </c>
      <c r="G534" s="1" t="str">
        <f t="array" ref="G534">IF(XLOOKUP(C535,customers!$A$1:$A$1001,customers!$C$1:$C$1001,0)=0,"",XLOOKUP(C535,customers!$A$1:$A$1001,customers!$C$1:$C$1001,0))</f>
        <v/>
      </c>
      <c r="H534" s="1" t="str">
        <f t="array" ref="H534">XLOOKUP(C534,customers!$A$1:$A$1001,customers!$F$1:$F$1001,0)</f>
        <v>Winter Haven</v>
      </c>
    </row>
    <row r="535" ht="15.75" customHeight="1">
      <c r="A535" s="1" t="s">
        <v>1060</v>
      </c>
      <c r="B535" s="2">
        <v>44724.0</v>
      </c>
      <c r="C535" s="1" t="s">
        <v>1061</v>
      </c>
      <c r="D535" s="3" t="s">
        <v>159</v>
      </c>
      <c r="E535" s="1">
        <v>4.0</v>
      </c>
      <c r="F535" s="1" t="str">
        <f t="array" ref="F535">XLOOKUP(C535,customers!A534:A1534, customers!B534:B1534,0)</f>
        <v>Rea Offell</v>
      </c>
      <c r="G535" s="1" t="str">
        <f t="array" ref="G535">IF(XLOOKUP(C536,customers!$A$1:$A$1001,customers!$C$1:$C$1001,0)=0,"",XLOOKUP(C536,customers!$A$1:$A$1001,customers!$C$1:$C$1001,0))</f>
        <v>koculleneu@ca.gov</v>
      </c>
      <c r="H535" s="1" t="str">
        <f t="array" ref="H535">XLOOKUP(C535,customers!$A$1:$A$1001,customers!$F$1:$F$1001,0)</f>
        <v>Dallas</v>
      </c>
    </row>
    <row r="536" ht="15.75" customHeight="1">
      <c r="A536" s="1" t="s">
        <v>1062</v>
      </c>
      <c r="B536" s="2">
        <v>44563.0</v>
      </c>
      <c r="C536" s="1" t="s">
        <v>1063</v>
      </c>
      <c r="D536" s="3" t="s">
        <v>54</v>
      </c>
      <c r="E536" s="1">
        <v>2.0</v>
      </c>
      <c r="F536" s="1" t="str">
        <f t="array" ref="F536">XLOOKUP(C536,customers!A535:A1535, customers!B535:B1535,0)</f>
        <v>Kris O'Cullen</v>
      </c>
      <c r="G536" s="1" t="str">
        <f t="array" ref="G536">IF(XLOOKUP(C537,customers!$A$1:$A$1001,customers!$C$1:$C$1001,0)=0,"",XLOOKUP(C537,customers!$A$1:$A$1001,customers!$C$1:$C$1001,0))</f>
        <v/>
      </c>
      <c r="H536" s="1" t="str">
        <f t="array" ref="H536">XLOOKUP(C536,customers!$A$1:$A$1001,customers!$F$1:$F$1001,0)</f>
        <v>Adare</v>
      </c>
    </row>
    <row r="537" ht="15.75" customHeight="1">
      <c r="A537" s="1" t="s">
        <v>1064</v>
      </c>
      <c r="B537" s="2">
        <v>44585.0</v>
      </c>
      <c r="C537" s="1" t="s">
        <v>1065</v>
      </c>
      <c r="D537" s="3" t="s">
        <v>32</v>
      </c>
      <c r="E537" s="1">
        <v>2.0</v>
      </c>
      <c r="F537" s="1" t="str">
        <f t="array" ref="F537">XLOOKUP(C537,customers!A536:A1536, customers!B536:B1536,0)</f>
        <v>Timoteo Glisane</v>
      </c>
      <c r="G537" s="1" t="str">
        <f t="array" ref="G537">IF(XLOOKUP(C538,customers!$A$1:$A$1001,customers!$C$1:$C$1001,0)=0,"",XLOOKUP(C538,customers!$A$1:$A$1001,customers!$C$1:$C$1001,0))</f>
        <v>murione5@alexa.com</v>
      </c>
      <c r="H537" s="1" t="str">
        <f t="array" ref="H537">XLOOKUP(C537,customers!$A$1:$A$1001,customers!$F$1:$F$1001,0)</f>
        <v>Ballivor</v>
      </c>
    </row>
    <row r="538" ht="15.75" customHeight="1">
      <c r="A538" s="1" t="s">
        <v>1066</v>
      </c>
      <c r="B538" s="2">
        <v>43544.0</v>
      </c>
      <c r="C538" s="1" t="s">
        <v>1001</v>
      </c>
      <c r="D538" s="3" t="s">
        <v>114</v>
      </c>
      <c r="E538" s="1">
        <v>3.0</v>
      </c>
      <c r="F538" s="1">
        <f t="array" ref="F538">XLOOKUP(C538,customers!A537:A1537, customers!B537:B1537,0)</f>
        <v>0</v>
      </c>
      <c r="G538" s="1" t="str">
        <f t="array" ref="G538">IF(XLOOKUP(C539,customers!$A$1:$A$1001,customers!$C$1:$C$1001,0)=0,"",XLOOKUP(C539,customers!$A$1:$A$1001,customers!$C$1:$C$1001,0))</f>
        <v>hbranganex@woothemes.com</v>
      </c>
      <c r="H538" s="1" t="str">
        <f t="array" ref="H538">XLOOKUP(C538,customers!$A$1:$A$1001,customers!$F$1:$F$1001,0)</f>
        <v>Virginia</v>
      </c>
    </row>
    <row r="539" ht="15.75" customHeight="1">
      <c r="A539" s="1" t="s">
        <v>1067</v>
      </c>
      <c r="B539" s="2">
        <v>44156.0</v>
      </c>
      <c r="C539" s="1" t="s">
        <v>1068</v>
      </c>
      <c r="D539" s="3" t="s">
        <v>543</v>
      </c>
      <c r="E539" s="1">
        <v>4.0</v>
      </c>
      <c r="F539" s="1" t="str">
        <f t="array" ref="F539">XLOOKUP(C539,customers!A538:A1538, customers!B538:B1538,0)</f>
        <v>Hildegarde Brangan</v>
      </c>
      <c r="G539" s="1" t="str">
        <f t="array" ref="G539">IF(XLOOKUP(C540,customers!$A$1:$A$1001,customers!$C$1:$C$1001,0)=0,"",XLOOKUP(C540,customers!$A$1:$A$1001,customers!$C$1:$C$1001,0))</f>
        <v>agallyoney@engadget.com</v>
      </c>
      <c r="H539" s="1" t="str">
        <f t="array" ref="H539">XLOOKUP(C539,customers!$A$1:$A$1001,customers!$F$1:$F$1001,0)</f>
        <v>Evansville</v>
      </c>
    </row>
    <row r="540" ht="15.75" customHeight="1">
      <c r="A540" s="1" t="s">
        <v>1069</v>
      </c>
      <c r="B540" s="2">
        <v>44482.0</v>
      </c>
      <c r="C540" s="1" t="s">
        <v>1070</v>
      </c>
      <c r="D540" s="3" t="s">
        <v>114</v>
      </c>
      <c r="E540" s="1">
        <v>4.0</v>
      </c>
      <c r="F540" s="1" t="str">
        <f t="array" ref="F540">XLOOKUP(C540,customers!A539:A1539, customers!B539:B1539,0)</f>
        <v>Amii Gallyon</v>
      </c>
      <c r="G540" s="1" t="str">
        <f t="array" ref="G540">IF(XLOOKUP(C541,customers!$A$1:$A$1001,customers!$C$1:$C$1001,0)=0,"",XLOOKUP(C541,customers!$A$1:$A$1001,customers!$C$1:$C$1001,0))</f>
        <v>bdomangeez@yahoo.co.jp</v>
      </c>
      <c r="H540" s="1" t="str">
        <f t="array" ref="H540">XLOOKUP(C540,customers!$A$1:$A$1001,customers!$F$1:$F$1001,0)</f>
        <v>Naperville</v>
      </c>
    </row>
    <row r="541" ht="15.75" customHeight="1">
      <c r="A541" s="1" t="s">
        <v>1071</v>
      </c>
      <c r="B541" s="2">
        <v>44488.0</v>
      </c>
      <c r="C541" s="1" t="s">
        <v>1072</v>
      </c>
      <c r="D541" s="3" t="s">
        <v>159</v>
      </c>
      <c r="E541" s="1">
        <v>5.0</v>
      </c>
      <c r="F541" s="1" t="str">
        <f t="array" ref="F541">XLOOKUP(C541,customers!A540:A1540, customers!B540:B1540,0)</f>
        <v>Birgit Domange</v>
      </c>
      <c r="G541" s="1" t="str">
        <f t="array" ref="G541">IF(XLOOKUP(C542,customers!$A$1:$A$1001,customers!$C$1:$C$1001,0)=0,"",XLOOKUP(C542,customers!$A$1:$A$1001,customers!$C$1:$C$1001,0))</f>
        <v>koslerf0@gmpg.org</v>
      </c>
      <c r="H541" s="1" t="str">
        <f t="array" ref="H541">XLOOKUP(C541,customers!$A$1:$A$1001,customers!$F$1:$F$1001,0)</f>
        <v>Charleston</v>
      </c>
    </row>
    <row r="542" ht="15.75" customHeight="1">
      <c r="A542" s="1" t="s">
        <v>1073</v>
      </c>
      <c r="B542" s="2">
        <v>43584.0</v>
      </c>
      <c r="C542" s="1" t="s">
        <v>1074</v>
      </c>
      <c r="D542" s="3" t="s">
        <v>145</v>
      </c>
      <c r="E542" s="1">
        <v>4.0</v>
      </c>
      <c r="F542" s="1" t="str">
        <f t="array" ref="F542">XLOOKUP(C542,customers!A541:A1541, customers!B541:B1541,0)</f>
        <v>Killian Osler</v>
      </c>
      <c r="G542" s="1" t="str">
        <f t="array" ref="G542">IF(XLOOKUP(C543,customers!$A$1:$A$1001,customers!$C$1:$C$1001,0)=0,"",XLOOKUP(C543,customers!$A$1:$A$1001,customers!$C$1:$C$1001,0))</f>
        <v/>
      </c>
      <c r="H542" s="1" t="str">
        <f t="array" ref="H542">XLOOKUP(C542,customers!$A$1:$A$1001,customers!$F$1:$F$1001,0)</f>
        <v>Lansing</v>
      </c>
    </row>
    <row r="543" ht="15.75" customHeight="1">
      <c r="A543" s="1" t="s">
        <v>1075</v>
      </c>
      <c r="B543" s="2">
        <v>43750.0</v>
      </c>
      <c r="C543" s="1" t="s">
        <v>1076</v>
      </c>
      <c r="D543" s="3" t="s">
        <v>131</v>
      </c>
      <c r="E543" s="1">
        <v>1.0</v>
      </c>
      <c r="F543" s="1" t="str">
        <f t="array" ref="F543">XLOOKUP(C543,customers!A542:A1542, customers!B542:B1542,0)</f>
        <v>Lora Dukes</v>
      </c>
      <c r="G543" s="1" t="str">
        <f t="array" ref="G543">IF(XLOOKUP(C544,customers!$A$1:$A$1001,customers!$C$1:$C$1001,0)=0,"",XLOOKUP(C544,customers!$A$1:$A$1001,customers!$C$1:$C$1001,0))</f>
        <v>zpellettf2@dailymotion.com</v>
      </c>
      <c r="H543" s="1" t="str">
        <f t="array" ref="H543">XLOOKUP(C543,customers!$A$1:$A$1001,customers!$F$1:$F$1001,0)</f>
        <v>Boyle</v>
      </c>
    </row>
    <row r="544" ht="15.75" customHeight="1">
      <c r="A544" s="1" t="s">
        <v>1077</v>
      </c>
      <c r="B544" s="2">
        <v>44335.0</v>
      </c>
      <c r="C544" s="1" t="s">
        <v>1078</v>
      </c>
      <c r="D544" s="3" t="s">
        <v>184</v>
      </c>
      <c r="E544" s="1">
        <v>4.0</v>
      </c>
      <c r="F544" s="1" t="str">
        <f t="array" ref="F544">XLOOKUP(C544,customers!A543:A1543, customers!B543:B1543,0)</f>
        <v>Zack Pellett</v>
      </c>
      <c r="G544" s="1" t="str">
        <f t="array" ref="G544">IF(XLOOKUP(C545,customers!$A$1:$A$1001,customers!$C$1:$C$1001,0)=0,"",XLOOKUP(C545,customers!$A$1:$A$1001,customers!$C$1:$C$1001,0))</f>
        <v>isprakesf3@spiegel.de</v>
      </c>
      <c r="H544" s="1" t="str">
        <f t="array" ref="H544">XLOOKUP(C544,customers!$A$1:$A$1001,customers!$F$1:$F$1001,0)</f>
        <v>Shreveport</v>
      </c>
    </row>
    <row r="545" ht="15.75" customHeight="1">
      <c r="A545" s="1" t="s">
        <v>1079</v>
      </c>
      <c r="B545" s="2">
        <v>44380.0</v>
      </c>
      <c r="C545" s="1" t="s">
        <v>1080</v>
      </c>
      <c r="D545" s="3" t="s">
        <v>23</v>
      </c>
      <c r="E545" s="1">
        <v>2.0</v>
      </c>
      <c r="F545" s="1" t="str">
        <f t="array" ref="F545">XLOOKUP(C545,customers!A544:A1544, customers!B544:B1544,0)</f>
        <v>Ilaire Sprakes</v>
      </c>
      <c r="G545" s="1" t="str">
        <f t="array" ref="G545">IF(XLOOKUP(C546,customers!$A$1:$A$1001,customers!$C$1:$C$1001,0)=0,"",XLOOKUP(C546,customers!$A$1:$A$1001,customers!$C$1:$C$1001,0))</f>
        <v>hfromantf4@ucsd.edu</v>
      </c>
      <c r="H545" s="1" t="str">
        <f t="array" ref="H545">XLOOKUP(C545,customers!$A$1:$A$1001,customers!$F$1:$F$1001,0)</f>
        <v>San Jose</v>
      </c>
    </row>
    <row r="546" ht="15.75" customHeight="1">
      <c r="A546" s="1" t="s">
        <v>1081</v>
      </c>
      <c r="B546" s="2">
        <v>43869.0</v>
      </c>
      <c r="C546" s="1" t="s">
        <v>1082</v>
      </c>
      <c r="D546" s="3" t="s">
        <v>205</v>
      </c>
      <c r="E546" s="1">
        <v>2.0</v>
      </c>
      <c r="F546" s="1" t="str">
        <f t="array" ref="F546">XLOOKUP(C546,customers!A545:A1545, customers!B545:B1545,0)</f>
        <v>Heda Fromant</v>
      </c>
      <c r="G546" s="1" t="str">
        <f t="array" ref="G546">IF(XLOOKUP(C547,customers!$A$1:$A$1001,customers!$C$1:$C$1001,0)=0,"",XLOOKUP(C547,customers!$A$1:$A$1001,customers!$C$1:$C$1001,0))</f>
        <v>rflearf5@artisteer.com</v>
      </c>
      <c r="H546" s="1" t="str">
        <f t="array" ref="H546">XLOOKUP(C546,customers!$A$1:$A$1001,customers!$F$1:$F$1001,0)</f>
        <v>Philadelphia</v>
      </c>
    </row>
    <row r="547" ht="15.75" customHeight="1">
      <c r="A547" s="1" t="s">
        <v>1083</v>
      </c>
      <c r="B547" s="2">
        <v>44120.0</v>
      </c>
      <c r="C547" s="1" t="s">
        <v>1084</v>
      </c>
      <c r="D547" s="3" t="s">
        <v>51</v>
      </c>
      <c r="E547" s="1">
        <v>4.0</v>
      </c>
      <c r="F547" s="1" t="str">
        <f t="array" ref="F547">XLOOKUP(C547,customers!A546:A1546, customers!B546:B1546,0)</f>
        <v>Rufus Flear</v>
      </c>
      <c r="G547" s="1" t="str">
        <f t="array" ref="G547">IF(XLOOKUP(C548,customers!$A$1:$A$1001,customers!$C$1:$C$1001,0)=0,"",XLOOKUP(C548,customers!$A$1:$A$1001,customers!$C$1:$C$1001,0))</f>
        <v/>
      </c>
      <c r="H547" s="1" t="str">
        <f t="array" ref="H547">XLOOKUP(C547,customers!$A$1:$A$1001,customers!$F$1:$F$1001,0)</f>
        <v>Sheffield</v>
      </c>
    </row>
    <row r="548" ht="15.75" customHeight="1">
      <c r="A548" s="1" t="s">
        <v>1085</v>
      </c>
      <c r="B548" s="2">
        <v>44127.0</v>
      </c>
      <c r="C548" s="1" t="s">
        <v>1086</v>
      </c>
      <c r="D548" s="3" t="s">
        <v>543</v>
      </c>
      <c r="E548" s="1">
        <v>3.0</v>
      </c>
      <c r="F548" s="1" t="str">
        <f t="array" ref="F548">XLOOKUP(C548,customers!A547:A1547, customers!B547:B1547,0)</f>
        <v>Dom Milella</v>
      </c>
      <c r="G548" s="1" t="str">
        <f t="array" ref="G548">IF(XLOOKUP(C549,customers!$A$1:$A$1001,customers!$C$1:$C$1001,0)=0,"",XLOOKUP(C549,customers!$A$1:$A$1001,customers!$C$1:$C$1001,0))</f>
        <v>wlightollersf9@baidu.com</v>
      </c>
      <c r="H548" s="1" t="str">
        <f t="array" ref="H548">XLOOKUP(C548,customers!$A$1:$A$1001,customers!$F$1:$F$1001,0)</f>
        <v>Manorhamilton</v>
      </c>
    </row>
    <row r="549" ht="15.75" customHeight="1">
      <c r="A549" s="1" t="s">
        <v>1087</v>
      </c>
      <c r="B549" s="2">
        <v>44265.0</v>
      </c>
      <c r="C549" s="1" t="s">
        <v>1088</v>
      </c>
      <c r="D549" s="3" t="s">
        <v>195</v>
      </c>
      <c r="E549" s="1">
        <v>3.0</v>
      </c>
      <c r="F549" s="1" t="str">
        <f t="array" ref="F549">XLOOKUP(C549,customers!A548:A1548, customers!B548:B1548,0)</f>
        <v>Wilek Lightollers</v>
      </c>
      <c r="G549" s="1" t="str">
        <f t="array" ref="G549">IF(XLOOKUP(C550,customers!$A$1:$A$1001,customers!$C$1:$C$1001,0)=0,"",XLOOKUP(C550,customers!$A$1:$A$1001,customers!$C$1:$C$1001,0))</f>
        <v>bmundenf8@elpais.com</v>
      </c>
      <c r="H549" s="1" t="str">
        <f t="array" ref="H549">XLOOKUP(C549,customers!$A$1:$A$1001,customers!$F$1:$F$1001,0)</f>
        <v>New York City</v>
      </c>
    </row>
    <row r="550" ht="15.75" customHeight="1">
      <c r="A550" s="1" t="s">
        <v>1089</v>
      </c>
      <c r="B550" s="2">
        <v>44384.0</v>
      </c>
      <c r="C550" s="1" t="s">
        <v>1090</v>
      </c>
      <c r="D550" s="3" t="s">
        <v>267</v>
      </c>
      <c r="E550" s="1">
        <v>3.0</v>
      </c>
      <c r="F550" s="1" t="str">
        <f t="array" ref="F550">XLOOKUP(C550,customers!A549:A1549, customers!B549:B1549,0)</f>
        <v>Bette-ann Munden</v>
      </c>
      <c r="G550" s="1" t="str">
        <f t="array" ref="G550">IF(XLOOKUP(C551,customers!$A$1:$A$1001,customers!$C$1:$C$1001,0)=0,"",XLOOKUP(C551,customers!$A$1:$A$1001,customers!$C$1:$C$1001,0))</f>
        <v>wlightollersf9@baidu.com</v>
      </c>
      <c r="H550" s="1" t="str">
        <f t="array" ref="H550">XLOOKUP(C550,customers!$A$1:$A$1001,customers!$F$1:$F$1001,0)</f>
        <v>Oklahoma City</v>
      </c>
    </row>
    <row r="551" ht="15.75" customHeight="1">
      <c r="A551" s="1" t="s">
        <v>1091</v>
      </c>
      <c r="B551" s="2">
        <v>44232.0</v>
      </c>
      <c r="C551" s="1" t="s">
        <v>1088</v>
      </c>
      <c r="D551" s="3" t="s">
        <v>267</v>
      </c>
      <c r="E551" s="1">
        <v>4.0</v>
      </c>
      <c r="F551" s="1" t="str">
        <f t="array" ref="F551">XLOOKUP(C551,customers!A550:A1550, customers!B550:B1550,0)</f>
        <v>Wilek Lightollers</v>
      </c>
      <c r="G551" s="1" t="str">
        <f t="array" ref="G551">IF(XLOOKUP(C552,customers!$A$1:$A$1001,customers!$C$1:$C$1001,0)=0,"",XLOOKUP(C552,customers!$A$1:$A$1001,customers!$C$1:$C$1001,0))</f>
        <v>nbrakespearfa@rediff.com</v>
      </c>
      <c r="H551" s="1" t="str">
        <f t="array" ref="H551">XLOOKUP(C551,customers!$A$1:$A$1001,customers!$F$1:$F$1001,0)</f>
        <v>New York City</v>
      </c>
    </row>
    <row r="552" ht="15.75" customHeight="1">
      <c r="A552" s="1" t="s">
        <v>1092</v>
      </c>
      <c r="B552" s="2">
        <v>44176.0</v>
      </c>
      <c r="C552" s="1" t="s">
        <v>1093</v>
      </c>
      <c r="D552" s="3" t="s">
        <v>51</v>
      </c>
      <c r="E552" s="1">
        <v>6.0</v>
      </c>
      <c r="F552" s="1" t="str">
        <f t="array" ref="F552">XLOOKUP(C552,customers!A551:A1551, customers!B551:B1551,0)</f>
        <v>Nick Brakespear</v>
      </c>
      <c r="G552" s="1" t="str">
        <f t="array" ref="G552">IF(XLOOKUP(C553,customers!$A$1:$A$1001,customers!$C$1:$C$1001,0)=0,"",XLOOKUP(C553,customers!$A$1:$A$1001,customers!$C$1:$C$1001,0))</f>
        <v>mglawsopfb@reverbnation.com</v>
      </c>
      <c r="H552" s="1" t="str">
        <f t="array" ref="H552">XLOOKUP(C552,customers!$A$1:$A$1001,customers!$F$1:$F$1001,0)</f>
        <v>Newark</v>
      </c>
    </row>
    <row r="553" ht="15.75" customHeight="1">
      <c r="A553" s="1" t="s">
        <v>1094</v>
      </c>
      <c r="B553" s="2">
        <v>44694.0</v>
      </c>
      <c r="C553" s="1" t="s">
        <v>1095</v>
      </c>
      <c r="D553" s="3" t="s">
        <v>64</v>
      </c>
      <c r="E553" s="1">
        <v>2.0</v>
      </c>
      <c r="F553" s="1" t="str">
        <f t="array" ref="F553">XLOOKUP(C553,customers!A552:A1552, customers!B552:B1552,0)</f>
        <v>Malynda Glawsop</v>
      </c>
      <c r="G553" s="1" t="str">
        <f t="array" ref="G553">IF(XLOOKUP(C554,customers!$A$1:$A$1001,customers!$C$1:$C$1001,0)=0,"",XLOOKUP(C554,customers!$A$1:$A$1001,customers!$C$1:$C$1001,0))</f>
        <v>galbertsfc@etsy.com</v>
      </c>
      <c r="H553" s="1" t="str">
        <f t="array" ref="H553">XLOOKUP(C553,customers!$A$1:$A$1001,customers!$F$1:$F$1001,0)</f>
        <v>New Haven</v>
      </c>
    </row>
    <row r="554" ht="15.75" customHeight="1">
      <c r="A554" s="1" t="s">
        <v>1096</v>
      </c>
      <c r="B554" s="2">
        <v>43761.0</v>
      </c>
      <c r="C554" s="1" t="s">
        <v>1097</v>
      </c>
      <c r="D554" s="3" t="s">
        <v>267</v>
      </c>
      <c r="E554" s="1">
        <v>4.0</v>
      </c>
      <c r="F554" s="1" t="str">
        <f t="array" ref="F554">XLOOKUP(C554,customers!A553:A1553, customers!B553:B1553,0)</f>
        <v>Granville Alberts</v>
      </c>
      <c r="G554" s="1" t="str">
        <f t="array" ref="G554">IF(XLOOKUP(C555,customers!$A$1:$A$1001,customers!$C$1:$C$1001,0)=0,"",XLOOKUP(C555,customers!$A$1:$A$1001,customers!$C$1:$C$1001,0))</f>
        <v>vpolglasefd@about.me</v>
      </c>
      <c r="H554" s="1" t="str">
        <f t="array" ref="H554">XLOOKUP(C554,customers!$A$1:$A$1001,customers!$F$1:$F$1001,0)</f>
        <v>Belfast</v>
      </c>
    </row>
    <row r="555" ht="15.75" customHeight="1">
      <c r="A555" s="1" t="s">
        <v>1098</v>
      </c>
      <c r="B555" s="2">
        <v>44085.0</v>
      </c>
      <c r="C555" s="1" t="s">
        <v>1099</v>
      </c>
      <c r="D555" s="3" t="s">
        <v>22</v>
      </c>
      <c r="E555" s="1">
        <v>5.0</v>
      </c>
      <c r="F555" s="1" t="str">
        <f t="array" ref="F555">XLOOKUP(C555,customers!A554:A1554, customers!B554:B1554,0)</f>
        <v>Vasily Polglase</v>
      </c>
      <c r="G555" s="1" t="str">
        <f t="array" ref="G555">IF(XLOOKUP(C556,customers!$A$1:$A$1001,customers!$C$1:$C$1001,0)=0,"",XLOOKUP(C556,customers!$A$1:$A$1001,customers!$C$1:$C$1001,0))</f>
        <v/>
      </c>
      <c r="H555" s="1" t="str">
        <f t="array" ref="H555">XLOOKUP(C555,customers!$A$1:$A$1001,customers!$F$1:$F$1001,0)</f>
        <v>Toledo</v>
      </c>
    </row>
    <row r="556" ht="15.75" customHeight="1">
      <c r="A556" s="1" t="s">
        <v>1100</v>
      </c>
      <c r="B556" s="2">
        <v>43737.0</v>
      </c>
      <c r="C556" s="1" t="s">
        <v>1101</v>
      </c>
      <c r="D556" s="3" t="s">
        <v>23</v>
      </c>
      <c r="E556" s="1">
        <v>2.0</v>
      </c>
      <c r="F556" s="1" t="str">
        <f t="array" ref="F556">XLOOKUP(C556,customers!A555:A1555, customers!B555:B1555,0)</f>
        <v>Madelaine Sharples</v>
      </c>
      <c r="G556" s="1" t="str">
        <f t="array" ref="G556">IF(XLOOKUP(C557,customers!$A$1:$A$1001,customers!$C$1:$C$1001,0)=0,"",XLOOKUP(C557,customers!$A$1:$A$1001,customers!$C$1:$C$1001,0))</f>
        <v>sbuschff@so-net.ne.jp</v>
      </c>
      <c r="H556" s="1" t="str">
        <f t="array" ref="H556">XLOOKUP(C556,customers!$A$1:$A$1001,customers!$F$1:$F$1001,0)</f>
        <v>Newton</v>
      </c>
    </row>
    <row r="557" ht="15.75" customHeight="1">
      <c r="A557" s="1" t="s">
        <v>1102</v>
      </c>
      <c r="B557" s="2">
        <v>44258.0</v>
      </c>
      <c r="C557" s="1" t="s">
        <v>1103</v>
      </c>
      <c r="D557" s="3" t="s">
        <v>22</v>
      </c>
      <c r="E557" s="1">
        <v>6.0</v>
      </c>
      <c r="F557" s="1" t="str">
        <f t="array" ref="F557">XLOOKUP(C557,customers!A556:A1556, customers!B556:B1556,0)</f>
        <v>Sigfrid Busch</v>
      </c>
      <c r="G557" s="1" t="str">
        <f t="array" ref="G557">IF(XLOOKUP(C558,customers!$A$1:$A$1001,customers!$C$1:$C$1001,0)=0,"",XLOOKUP(C558,customers!$A$1:$A$1001,customers!$C$1:$C$1001,0))</f>
        <v>craisbeckfg@webnode.com</v>
      </c>
      <c r="H557" s="1" t="str">
        <f t="array" ref="H557">XLOOKUP(C557,customers!$A$1:$A$1001,customers!$F$1:$F$1001,0)</f>
        <v>Bantry</v>
      </c>
    </row>
    <row r="558" ht="15.75" customHeight="1">
      <c r="A558" s="1" t="s">
        <v>1104</v>
      </c>
      <c r="B558" s="2">
        <v>44523.0</v>
      </c>
      <c r="C558" s="1" t="s">
        <v>1105</v>
      </c>
      <c r="D558" s="3" t="s">
        <v>90</v>
      </c>
      <c r="E558" s="1">
        <v>2.0</v>
      </c>
      <c r="F558" s="1" t="str">
        <f t="array" ref="F558">XLOOKUP(C558,customers!A557:A1557, customers!B557:B1557,0)</f>
        <v>Cissiee Raisbeck</v>
      </c>
      <c r="G558" s="1" t="str">
        <f t="array" ref="G558">IF(XLOOKUP(C559,customers!$A$1:$A$1001,customers!$C$1:$C$1001,0)=0,"",XLOOKUP(C559,customers!$A$1:$A$1001,customers!$C$1:$C$1001,0))</f>
        <v>murione5@alexa.com</v>
      </c>
      <c r="H558" s="1" t="str">
        <f t="array" ref="H558">XLOOKUP(C558,customers!$A$1:$A$1001,customers!$F$1:$F$1001,0)</f>
        <v>Shreveport</v>
      </c>
    </row>
    <row r="559" ht="15.75" customHeight="1">
      <c r="A559" s="1" t="s">
        <v>1106</v>
      </c>
      <c r="B559" s="2">
        <v>44506.0</v>
      </c>
      <c r="C559" s="1" t="s">
        <v>1001</v>
      </c>
      <c r="D559" s="3" t="s">
        <v>150</v>
      </c>
      <c r="E559" s="1">
        <v>4.0</v>
      </c>
      <c r="F559" s="1">
        <f t="array" ref="F559">XLOOKUP(C559,customers!A558:A1558, customers!B558:B1558,0)</f>
        <v>0</v>
      </c>
      <c r="G559" s="1" t="str">
        <f t="array" ref="G559">IF(XLOOKUP(C560,customers!$A$1:$A$1001,customers!$C$1:$C$1001,0)=0,"",XLOOKUP(C560,customers!$A$1:$A$1001,customers!$C$1:$C$1001,0))</f>
        <v/>
      </c>
      <c r="H559" s="1" t="str">
        <f t="array" ref="H559">XLOOKUP(C559,customers!$A$1:$A$1001,customers!$F$1:$F$1001,0)</f>
        <v>Virginia</v>
      </c>
    </row>
    <row r="560" ht="15.75" customHeight="1">
      <c r="A560" s="1" t="s">
        <v>1107</v>
      </c>
      <c r="B560" s="2">
        <v>44225.0</v>
      </c>
      <c r="C560" s="1" t="s">
        <v>1108</v>
      </c>
      <c r="D560" s="3" t="s">
        <v>51</v>
      </c>
      <c r="E560" s="1">
        <v>4.0</v>
      </c>
      <c r="F560" s="1" t="str">
        <f t="array" ref="F560">XLOOKUP(C560,customers!A559:A1559, customers!B559:B1559,0)</f>
        <v>Kenton Wetherick</v>
      </c>
      <c r="G560" s="1" t="str">
        <f t="array" ref="G560">IF(XLOOKUP(C561,customers!$A$1:$A$1001,customers!$C$1:$C$1001,0)=0,"",XLOOKUP(C561,customers!$A$1:$A$1001,customers!$C$1:$C$1001,0))</f>
        <v>raynoldfj@ustream.tv</v>
      </c>
      <c r="H560" s="1" t="str">
        <f t="array" ref="H560">XLOOKUP(C560,customers!$A$1:$A$1001,customers!$F$1:$F$1001,0)</f>
        <v>Lexington</v>
      </c>
    </row>
    <row r="561" ht="15.75" customHeight="1">
      <c r="A561" s="1" t="s">
        <v>1109</v>
      </c>
      <c r="B561" s="2">
        <v>44667.0</v>
      </c>
      <c r="C561" s="1" t="s">
        <v>1110</v>
      </c>
      <c r="D561" s="3" t="s">
        <v>19</v>
      </c>
      <c r="E561" s="1">
        <v>3.0</v>
      </c>
      <c r="F561" s="1" t="str">
        <f t="array" ref="F561">XLOOKUP(C561,customers!A560:A1560, customers!B560:B1560,0)</f>
        <v>Reamonn Aynold</v>
      </c>
      <c r="G561" s="1" t="str">
        <f t="array" ref="G561">IF(XLOOKUP(C562,customers!$A$1:$A$1001,customers!$C$1:$C$1001,0)=0,"",XLOOKUP(C562,customers!$A$1:$A$1001,customers!$C$1:$C$1001,0))</f>
        <v/>
      </c>
      <c r="H561" s="1" t="str">
        <f t="array" ref="H561">XLOOKUP(C561,customers!$A$1:$A$1001,customers!$F$1:$F$1001,0)</f>
        <v>Milwaukee</v>
      </c>
    </row>
    <row r="562" ht="15.75" customHeight="1">
      <c r="A562" s="1" t="s">
        <v>1111</v>
      </c>
      <c r="B562" s="2">
        <v>44401.0</v>
      </c>
      <c r="C562" s="1" t="s">
        <v>1112</v>
      </c>
      <c r="D562" s="3" t="s">
        <v>125</v>
      </c>
      <c r="E562" s="1">
        <v>6.0</v>
      </c>
      <c r="F562" s="1" t="str">
        <f t="array" ref="F562">XLOOKUP(C562,customers!A561:A1561, customers!B561:B1561,0)</f>
        <v>Hatty Dovydenas</v>
      </c>
      <c r="G562" s="1" t="str">
        <f t="array" ref="G562">IF(XLOOKUP(C563,customers!$A$1:$A$1001,customers!$C$1:$C$1001,0)=0,"",XLOOKUP(C563,customers!$A$1:$A$1001,customers!$C$1:$C$1001,0))</f>
        <v/>
      </c>
      <c r="H562" s="1" t="str">
        <f t="array" ref="H562">XLOOKUP(C562,customers!$A$1:$A$1001,customers!$F$1:$F$1001,0)</f>
        <v>Amarillo</v>
      </c>
    </row>
    <row r="563" ht="15.75" customHeight="1">
      <c r="A563" s="1" t="s">
        <v>1113</v>
      </c>
      <c r="B563" s="2">
        <v>43688.0</v>
      </c>
      <c r="C563" s="1" t="s">
        <v>1114</v>
      </c>
      <c r="D563" s="3" t="s">
        <v>67</v>
      </c>
      <c r="E563" s="1">
        <v>6.0</v>
      </c>
      <c r="F563" s="1" t="str">
        <f t="array" ref="F563">XLOOKUP(C563,customers!A562:A1562, customers!B562:B1562,0)</f>
        <v>Nathaniel Bloxland</v>
      </c>
      <c r="G563" s="1" t="str">
        <f t="array" ref="G563">IF(XLOOKUP(C564,customers!$A$1:$A$1001,customers!$C$1:$C$1001,0)=0,"",XLOOKUP(C564,customers!$A$1:$A$1001,customers!$C$1:$C$1001,0))</f>
        <v>bgrecefm@naver.com</v>
      </c>
      <c r="H563" s="1" t="str">
        <f t="array" ref="H563">XLOOKUP(C563,customers!$A$1:$A$1001,customers!$F$1:$F$1001,0)</f>
        <v>Daingean</v>
      </c>
    </row>
    <row r="564" ht="15.75" customHeight="1">
      <c r="A564" s="1" t="s">
        <v>1115</v>
      </c>
      <c r="B564" s="2">
        <v>43669.0</v>
      </c>
      <c r="C564" s="1" t="s">
        <v>1116</v>
      </c>
      <c r="D564" s="3" t="s">
        <v>32</v>
      </c>
      <c r="E564" s="1">
        <v>6.0</v>
      </c>
      <c r="F564" s="1" t="str">
        <f t="array" ref="F564">XLOOKUP(C564,customers!A563:A1563, customers!B563:B1563,0)</f>
        <v>Brendan Grece</v>
      </c>
      <c r="G564" s="1" t="str">
        <f t="array" ref="G564">IF(XLOOKUP(C565,customers!$A$1:$A$1001,customers!$C$1:$C$1001,0)=0,"",XLOOKUP(C565,customers!$A$1:$A$1001,customers!$C$1:$C$1001,0))</f>
        <v>dflintiffg1@e-recht24.de</v>
      </c>
      <c r="H564" s="1" t="str">
        <f t="array" ref="H564">XLOOKUP(C564,customers!$A$1:$A$1001,customers!$F$1:$F$1001,0)</f>
        <v>Halton</v>
      </c>
    </row>
    <row r="565" ht="15.75" customHeight="1">
      <c r="A565" s="1" t="s">
        <v>1117</v>
      </c>
      <c r="B565" s="2">
        <v>43991.0</v>
      </c>
      <c r="C565" s="1" t="s">
        <v>1118</v>
      </c>
      <c r="D565" s="3" t="s">
        <v>22</v>
      </c>
      <c r="E565" s="1">
        <v>6.0</v>
      </c>
      <c r="F565" s="1" t="str">
        <f t="array" ref="F565">XLOOKUP(C565,customers!A564:A1564, customers!B564:B1564,0)</f>
        <v>Don Flintiff</v>
      </c>
      <c r="G565" s="1" t="str">
        <f t="array" ref="G565">IF(XLOOKUP(C566,customers!$A$1:$A$1001,customers!$C$1:$C$1001,0)=0,"",XLOOKUP(C566,customers!$A$1:$A$1001,customers!$C$1:$C$1001,0))</f>
        <v>athysfo@cdc.gov</v>
      </c>
      <c r="H565" s="1" t="str">
        <f t="array" ref="H565">XLOOKUP(C565,customers!$A$1:$A$1001,customers!$F$1:$F$1001,0)</f>
        <v>London</v>
      </c>
    </row>
    <row r="566" ht="15.75" customHeight="1">
      <c r="A566" s="1" t="s">
        <v>1119</v>
      </c>
      <c r="B566" s="2">
        <v>43883.0</v>
      </c>
      <c r="C566" s="1" t="s">
        <v>1120</v>
      </c>
      <c r="D566" s="3" t="s">
        <v>170</v>
      </c>
      <c r="E566" s="1">
        <v>2.0</v>
      </c>
      <c r="F566" s="1" t="str">
        <f t="array" ref="F566">XLOOKUP(C566,customers!A565:A1565, customers!B565:B1565,0)</f>
        <v>Abbe Thys</v>
      </c>
      <c r="G566" s="1" t="str">
        <f t="array" ref="G566">IF(XLOOKUP(C567,customers!$A$1:$A$1001,customers!$C$1:$C$1001,0)=0,"",XLOOKUP(C567,customers!$A$1:$A$1001,customers!$C$1:$C$1001,0))</f>
        <v>jchuggfp@about.me</v>
      </c>
      <c r="H566" s="1" t="str">
        <f t="array" ref="H566">XLOOKUP(C566,customers!$A$1:$A$1001,customers!$F$1:$F$1001,0)</f>
        <v>Knoxville</v>
      </c>
    </row>
    <row r="567" ht="15.75" customHeight="1">
      <c r="A567" s="1" t="s">
        <v>1121</v>
      </c>
      <c r="B567" s="2">
        <v>44031.0</v>
      </c>
      <c r="C567" s="1" t="s">
        <v>1122</v>
      </c>
      <c r="D567" s="3" t="s">
        <v>48</v>
      </c>
      <c r="E567" s="1">
        <v>4.0</v>
      </c>
      <c r="F567" s="1" t="str">
        <f t="array" ref="F567">XLOOKUP(C567,customers!A566:A1566, customers!B566:B1566,0)</f>
        <v>Jackquelin Chugg</v>
      </c>
      <c r="G567" s="1" t="str">
        <f t="array" ref="G567">IF(XLOOKUP(C568,customers!$A$1:$A$1001,customers!$C$1:$C$1001,0)=0,"",XLOOKUP(C568,customers!$A$1:$A$1001,customers!$C$1:$C$1001,0))</f>
        <v>akelstonfq@sakura.ne.jp</v>
      </c>
      <c r="H567" s="1" t="str">
        <f t="array" ref="H567">XLOOKUP(C567,customers!$A$1:$A$1001,customers!$F$1:$F$1001,0)</f>
        <v>Shawnee Mission</v>
      </c>
    </row>
    <row r="568" ht="15.75" customHeight="1">
      <c r="A568" s="1" t="s">
        <v>1123</v>
      </c>
      <c r="B568" s="2">
        <v>44459.0</v>
      </c>
      <c r="C568" s="1" t="s">
        <v>1124</v>
      </c>
      <c r="D568" s="3" t="s">
        <v>57</v>
      </c>
      <c r="E568" s="1">
        <v>6.0</v>
      </c>
      <c r="F568" s="1" t="str">
        <f t="array" ref="F568">XLOOKUP(C568,customers!A567:A1567, customers!B567:B1567,0)</f>
        <v>Audra Kelston</v>
      </c>
      <c r="G568" s="1" t="str">
        <f t="array" ref="G568">IF(XLOOKUP(C569,customers!$A$1:$A$1001,customers!$C$1:$C$1001,0)=0,"",XLOOKUP(C569,customers!$A$1:$A$1001,customers!$C$1:$C$1001,0))</f>
        <v/>
      </c>
      <c r="H568" s="1" t="str">
        <f t="array" ref="H568">XLOOKUP(C568,customers!$A$1:$A$1001,customers!$F$1:$F$1001,0)</f>
        <v>Fort Lauderdale</v>
      </c>
    </row>
    <row r="569" ht="15.75" customHeight="1">
      <c r="A569" s="1" t="s">
        <v>1125</v>
      </c>
      <c r="B569" s="2">
        <v>44318.0</v>
      </c>
      <c r="C569" s="1" t="s">
        <v>1126</v>
      </c>
      <c r="D569" s="3" t="s">
        <v>23</v>
      </c>
      <c r="E569" s="1">
        <v>6.0</v>
      </c>
      <c r="F569" s="1" t="str">
        <f t="array" ref="F569">XLOOKUP(C569,customers!A568:A1568, customers!B568:B1568,0)</f>
        <v>Elvina Angel</v>
      </c>
      <c r="G569" s="1" t="str">
        <f t="array" ref="G569">IF(XLOOKUP(C570,customers!$A$1:$A$1001,customers!$C$1:$C$1001,0)=0,"",XLOOKUP(C570,customers!$A$1:$A$1001,customers!$C$1:$C$1001,0))</f>
        <v>cmottramfs@harvard.edu</v>
      </c>
      <c r="H569" s="1" t="str">
        <f t="array" ref="H569">XLOOKUP(C569,customers!$A$1:$A$1001,customers!$F$1:$F$1001,0)</f>
        <v>Tralee</v>
      </c>
    </row>
    <row r="570" ht="15.75" customHeight="1">
      <c r="A570" s="1" t="s">
        <v>1127</v>
      </c>
      <c r="B570" s="2">
        <v>44526.0</v>
      </c>
      <c r="C570" s="1" t="s">
        <v>1128</v>
      </c>
      <c r="D570" s="3" t="s">
        <v>32</v>
      </c>
      <c r="E570" s="1">
        <v>4.0</v>
      </c>
      <c r="F570" s="1" t="str">
        <f t="array" ref="F570">XLOOKUP(C570,customers!A569:A1569, customers!B569:B1569,0)</f>
        <v>Claiborne Mottram</v>
      </c>
      <c r="G570" s="1" t="str">
        <f t="array" ref="G570">IF(XLOOKUP(C571,customers!$A$1:$A$1001,customers!$C$1:$C$1001,0)=0,"",XLOOKUP(C571,customers!$A$1:$A$1001,customers!$C$1:$C$1001,0))</f>
        <v>dflintiffg1@e-recht24.de</v>
      </c>
      <c r="H570" s="1" t="str">
        <f t="array" ref="H570">XLOOKUP(C570,customers!$A$1:$A$1001,customers!$F$1:$F$1001,0)</f>
        <v>Austin</v>
      </c>
    </row>
    <row r="571" ht="15.75" customHeight="1">
      <c r="A571" s="1" t="s">
        <v>1129</v>
      </c>
      <c r="B571" s="2">
        <v>43879.0</v>
      </c>
      <c r="C571" s="1" t="s">
        <v>1118</v>
      </c>
      <c r="D571" s="3" t="s">
        <v>131</v>
      </c>
      <c r="E571" s="1">
        <v>6.0</v>
      </c>
      <c r="F571" s="1" t="str">
        <f t="array" ref="F571">XLOOKUP(C571,customers!A570:A1570, customers!B570:B1570,0)</f>
        <v>Don Flintiff</v>
      </c>
      <c r="G571" s="1" t="str">
        <f t="array" ref="G571">IF(XLOOKUP(C572,customers!$A$1:$A$1001,customers!$C$1:$C$1001,0)=0,"",XLOOKUP(C572,customers!$A$1:$A$1001,customers!$C$1:$C$1001,0))</f>
        <v>dsangwinfu@weebly.com</v>
      </c>
      <c r="H571" s="1" t="str">
        <f t="array" ref="H571">XLOOKUP(C571,customers!$A$1:$A$1001,customers!$F$1:$F$1001,0)</f>
        <v>London</v>
      </c>
    </row>
    <row r="572" ht="15.75" customHeight="1">
      <c r="A572" s="1" t="s">
        <v>1130</v>
      </c>
      <c r="B572" s="2">
        <v>43928.0</v>
      </c>
      <c r="C572" s="1" t="s">
        <v>1131</v>
      </c>
      <c r="D572" s="3" t="s">
        <v>80</v>
      </c>
      <c r="E572" s="1">
        <v>4.0</v>
      </c>
      <c r="F572" s="1" t="str">
        <f t="array" ref="F572">XLOOKUP(C572,customers!A571:A1571, customers!B571:B1571,0)</f>
        <v>Donalt Sangwin</v>
      </c>
      <c r="G572" s="1" t="str">
        <f t="array" ref="G572">IF(XLOOKUP(C573,customers!$A$1:$A$1001,customers!$C$1:$C$1001,0)=0,"",XLOOKUP(C573,customers!$A$1:$A$1001,customers!$C$1:$C$1001,0))</f>
        <v>eaizikowitzfv@virginia.edu</v>
      </c>
      <c r="H572" s="1" t="str">
        <f t="array" ref="H572">XLOOKUP(C572,customers!$A$1:$A$1001,customers!$F$1:$F$1001,0)</f>
        <v>Hyattsville</v>
      </c>
    </row>
    <row r="573" ht="15.75" customHeight="1">
      <c r="A573" s="1" t="s">
        <v>1132</v>
      </c>
      <c r="B573" s="2">
        <v>44592.0</v>
      </c>
      <c r="C573" s="1" t="s">
        <v>1133</v>
      </c>
      <c r="D573" s="3" t="s">
        <v>189</v>
      </c>
      <c r="E573" s="1">
        <v>4.0</v>
      </c>
      <c r="F573" s="1" t="str">
        <f t="array" ref="F573">XLOOKUP(C573,customers!A572:A1572, customers!B572:B1572,0)</f>
        <v>Elizabet Aizikowitz</v>
      </c>
      <c r="G573" s="1" t="str">
        <f t="array" ref="G573">IF(XLOOKUP(C574,customers!$A$1:$A$1001,customers!$C$1:$C$1001,0)=0,"",XLOOKUP(C574,customers!$A$1:$A$1001,customers!$C$1:$C$1001,0))</f>
        <v/>
      </c>
      <c r="H573" s="1" t="str">
        <f t="array" ref="H573">XLOOKUP(C573,customers!$A$1:$A$1001,customers!$F$1:$F$1001,0)</f>
        <v>Ashley</v>
      </c>
    </row>
    <row r="574" ht="15.75" customHeight="1">
      <c r="A574" s="1" t="s">
        <v>1134</v>
      </c>
      <c r="B574" s="2">
        <v>43515.0</v>
      </c>
      <c r="C574" s="1" t="s">
        <v>1135</v>
      </c>
      <c r="D574" s="3" t="s">
        <v>67</v>
      </c>
      <c r="E574" s="1">
        <v>2.0</v>
      </c>
      <c r="F574" s="1" t="str">
        <f t="array" ref="F574">XLOOKUP(C574,customers!A573:A1573, customers!B573:B1573,0)</f>
        <v>Herbie Peppard</v>
      </c>
      <c r="G574" s="1" t="str">
        <f t="array" ref="G574">IF(XLOOKUP(C575,customers!$A$1:$A$1001,customers!$C$1:$C$1001,0)=0,"",XLOOKUP(C575,customers!$A$1:$A$1001,customers!$C$1:$C$1001,0))</f>
        <v>cvenourfx@ask.com</v>
      </c>
      <c r="H574" s="1" t="str">
        <f t="array" ref="H574">XLOOKUP(C574,customers!$A$1:$A$1001,customers!$F$1:$F$1001,0)</f>
        <v>Pasadena</v>
      </c>
    </row>
    <row r="575" ht="15.75" customHeight="1">
      <c r="A575" s="1" t="s">
        <v>1136</v>
      </c>
      <c r="B575" s="2">
        <v>43781.0</v>
      </c>
      <c r="C575" s="1" t="s">
        <v>1137</v>
      </c>
      <c r="D575" s="3" t="s">
        <v>74</v>
      </c>
      <c r="E575" s="1">
        <v>6.0</v>
      </c>
      <c r="F575" s="1" t="str">
        <f t="array" ref="F575">XLOOKUP(C575,customers!A574:A1574, customers!B574:B1574,0)</f>
        <v>Cornie Venour</v>
      </c>
      <c r="G575" s="1" t="str">
        <f t="array" ref="G575">IF(XLOOKUP(C576,customers!$A$1:$A$1001,customers!$C$1:$C$1001,0)=0,"",XLOOKUP(C576,customers!$A$1:$A$1001,customers!$C$1:$C$1001,0))</f>
        <v>mharbyfy@163.com</v>
      </c>
      <c r="H575" s="1" t="str">
        <f t="array" ref="H575">XLOOKUP(C575,customers!$A$1:$A$1001,customers!$F$1:$F$1001,0)</f>
        <v>Shreveport</v>
      </c>
    </row>
    <row r="576" ht="15.75" customHeight="1">
      <c r="A576" s="1" t="s">
        <v>1138</v>
      </c>
      <c r="B576" s="2">
        <v>44697.0</v>
      </c>
      <c r="C576" s="1" t="s">
        <v>1139</v>
      </c>
      <c r="D576" s="3" t="s">
        <v>195</v>
      </c>
      <c r="E576" s="1">
        <v>6.0</v>
      </c>
      <c r="F576" s="1" t="str">
        <f t="array" ref="F576">XLOOKUP(C576,customers!A575:A1575, customers!B575:B1575,0)</f>
        <v>Maggy Harby</v>
      </c>
      <c r="G576" s="1" t="str">
        <f t="array" ref="G576">IF(XLOOKUP(C577,customers!$A$1:$A$1001,customers!$C$1:$C$1001,0)=0,"",XLOOKUP(C577,customers!$A$1:$A$1001,customers!$C$1:$C$1001,0))</f>
        <v>rthickpennyfz@cafepress.com</v>
      </c>
      <c r="H576" s="1" t="str">
        <f t="array" ref="H576">XLOOKUP(C576,customers!$A$1:$A$1001,customers!$F$1:$F$1001,0)</f>
        <v>Pensacola</v>
      </c>
    </row>
    <row r="577" ht="15.75" customHeight="1">
      <c r="A577" s="1" t="s">
        <v>1140</v>
      </c>
      <c r="B577" s="2">
        <v>44239.0</v>
      </c>
      <c r="C577" s="1" t="s">
        <v>1141</v>
      </c>
      <c r="D577" s="3" t="s">
        <v>210</v>
      </c>
      <c r="E577" s="1">
        <v>2.0</v>
      </c>
      <c r="F577" s="1" t="str">
        <f t="array" ref="F577">XLOOKUP(C577,customers!A576:A1576, customers!B576:B1576,0)</f>
        <v>Reggie Thickpenny</v>
      </c>
      <c r="G577" s="1" t="str">
        <f t="array" ref="G577">IF(XLOOKUP(C578,customers!$A$1:$A$1001,customers!$C$1:$C$1001,0)=0,"",XLOOKUP(C578,customers!$A$1:$A$1001,customers!$C$1:$C$1001,0))</f>
        <v>pormerodg0@redcross.org</v>
      </c>
      <c r="H577" s="1" t="str">
        <f t="array" ref="H577">XLOOKUP(C577,customers!$A$1:$A$1001,customers!$F$1:$F$1001,0)</f>
        <v>Los Angeles</v>
      </c>
    </row>
    <row r="578" ht="15.75" customHeight="1">
      <c r="A578" s="1" t="s">
        <v>1142</v>
      </c>
      <c r="B578" s="2">
        <v>44290.0</v>
      </c>
      <c r="C578" s="1" t="s">
        <v>1143</v>
      </c>
      <c r="D578" s="3" t="s">
        <v>67</v>
      </c>
      <c r="E578" s="1">
        <v>6.0</v>
      </c>
      <c r="F578" s="1" t="str">
        <f t="array" ref="F578">XLOOKUP(C578,customers!A577:A1577, customers!B577:B1577,0)</f>
        <v>Phyllys Ormerod</v>
      </c>
      <c r="G578" s="1" t="str">
        <f t="array" ref="G578">IF(XLOOKUP(C579,customers!$A$1:$A$1001,customers!$C$1:$C$1001,0)=0,"",XLOOKUP(C579,customers!$A$1:$A$1001,customers!$C$1:$C$1001,0))</f>
        <v>dflintiffg1@e-recht24.de</v>
      </c>
      <c r="H578" s="1" t="str">
        <f t="array" ref="H578">XLOOKUP(C578,customers!$A$1:$A$1001,customers!$F$1:$F$1001,0)</f>
        <v>Durham</v>
      </c>
    </row>
    <row r="579" ht="15.75" customHeight="1">
      <c r="A579" s="1" t="s">
        <v>1144</v>
      </c>
      <c r="B579" s="2">
        <v>44410.0</v>
      </c>
      <c r="C579" s="1" t="s">
        <v>1118</v>
      </c>
      <c r="D579" s="3" t="s">
        <v>109</v>
      </c>
      <c r="E579" s="1">
        <v>4.0</v>
      </c>
      <c r="F579" s="1" t="str">
        <f t="array" ref="F579">XLOOKUP(C579,customers!A578:A1578, customers!B578:B1578,0)</f>
        <v>Don Flintiff</v>
      </c>
      <c r="G579" s="1" t="str">
        <f t="array" ref="G579">IF(XLOOKUP(C580,customers!$A$1:$A$1001,customers!$C$1:$C$1001,0)=0,"",XLOOKUP(C580,customers!$A$1:$A$1001,customers!$C$1:$C$1001,0))</f>
        <v>tzanettig2@gravatar.com</v>
      </c>
      <c r="H579" s="1" t="str">
        <f t="array" ref="H579">XLOOKUP(C579,customers!$A$1:$A$1001,customers!$F$1:$F$1001,0)</f>
        <v>London</v>
      </c>
    </row>
    <row r="580" ht="15.75" customHeight="1">
      <c r="A580" s="1" t="s">
        <v>1145</v>
      </c>
      <c r="B580" s="2">
        <v>44720.0</v>
      </c>
      <c r="C580" s="1" t="s">
        <v>1146</v>
      </c>
      <c r="D580" s="3" t="s">
        <v>267</v>
      </c>
      <c r="E580" s="1">
        <v>3.0</v>
      </c>
      <c r="F580" s="1" t="str">
        <f t="array" ref="F580">XLOOKUP(C580,customers!A579:A1579, customers!B579:B1579,0)</f>
        <v>Tymon Zanetti</v>
      </c>
      <c r="G580" s="1" t="str">
        <f t="array" ref="G580">IF(XLOOKUP(C581,customers!$A$1:$A$1001,customers!$C$1:$C$1001,0)=0,"",XLOOKUP(C581,customers!$A$1:$A$1001,customers!$C$1:$C$1001,0))</f>
        <v>tzanettig2@gravatar.com</v>
      </c>
      <c r="H580" s="1" t="str">
        <f t="array" ref="H580">XLOOKUP(C580,customers!$A$1:$A$1001,customers!$F$1:$F$1001,0)</f>
        <v>Loughrea</v>
      </c>
    </row>
    <row r="581" ht="15.75" customHeight="1">
      <c r="A581" s="1" t="s">
        <v>1145</v>
      </c>
      <c r="B581" s="2">
        <v>44720.0</v>
      </c>
      <c r="C581" s="1" t="s">
        <v>1146</v>
      </c>
      <c r="D581" s="3" t="s">
        <v>80</v>
      </c>
      <c r="E581" s="1">
        <v>5.0</v>
      </c>
      <c r="F581" s="1" t="str">
        <f t="array" ref="F581">XLOOKUP(C581,customers!A580:A1580, customers!B580:B1580,0)</f>
        <v>Tymon Zanetti</v>
      </c>
      <c r="G581" s="1" t="str">
        <f t="array" ref="G581">IF(XLOOKUP(C582,customers!$A$1:$A$1001,customers!$C$1:$C$1001,0)=0,"",XLOOKUP(C582,customers!$A$1:$A$1001,customers!$C$1:$C$1001,0))</f>
        <v>rkirtleyg4@hatena.ne.jp</v>
      </c>
      <c r="H581" s="1" t="str">
        <f t="array" ref="H581">XLOOKUP(C581,customers!$A$1:$A$1001,customers!$F$1:$F$1001,0)</f>
        <v>Loughrea</v>
      </c>
    </row>
    <row r="582" ht="15.75" customHeight="1">
      <c r="A582" s="1" t="s">
        <v>1147</v>
      </c>
      <c r="B582" s="2">
        <v>43965.0</v>
      </c>
      <c r="C582" s="1" t="s">
        <v>1148</v>
      </c>
      <c r="D582" s="3" t="s">
        <v>150</v>
      </c>
      <c r="E582" s="1">
        <v>3.0</v>
      </c>
      <c r="F582" s="1" t="str">
        <f t="array" ref="F582">XLOOKUP(C582,customers!A581:A1581, customers!B581:B1581,0)</f>
        <v>Reinaldos Kirtley</v>
      </c>
      <c r="G582" s="1" t="str">
        <f t="array" ref="G582">IF(XLOOKUP(C583,customers!$A$1:$A$1001,customers!$C$1:$C$1001,0)=0,"",XLOOKUP(C583,customers!$A$1:$A$1001,customers!$C$1:$C$1001,0))</f>
        <v>cclemencetg5@weather.com</v>
      </c>
      <c r="H582" s="1" t="str">
        <f t="array" ref="H582">XLOOKUP(C582,customers!$A$1:$A$1001,customers!$F$1:$F$1001,0)</f>
        <v>Whittier</v>
      </c>
    </row>
    <row r="583" ht="15.75" customHeight="1">
      <c r="A583" s="1" t="s">
        <v>1149</v>
      </c>
      <c r="B583" s="2">
        <v>44190.0</v>
      </c>
      <c r="C583" s="1" t="s">
        <v>1150</v>
      </c>
      <c r="D583" s="3" t="s">
        <v>189</v>
      </c>
      <c r="E583" s="1">
        <v>5.0</v>
      </c>
      <c r="F583" s="1" t="str">
        <f t="array" ref="F583">XLOOKUP(C583,customers!A582:A1582, customers!B582:B1582,0)</f>
        <v>Carney Clemencet</v>
      </c>
      <c r="G583" s="1" t="str">
        <f t="array" ref="G583">IF(XLOOKUP(C584,customers!$A$1:$A$1001,customers!$C$1:$C$1001,0)=0,"",XLOOKUP(C584,customers!$A$1:$A$1001,customers!$C$1:$C$1001,0))</f>
        <v>rdonetg6@oakley.com</v>
      </c>
      <c r="H583" s="1" t="str">
        <f t="array" ref="H583">XLOOKUP(C583,customers!$A$1:$A$1001,customers!$F$1:$F$1001,0)</f>
        <v>Birmingham</v>
      </c>
    </row>
    <row r="584" ht="15.75" customHeight="1">
      <c r="A584" s="1" t="s">
        <v>1151</v>
      </c>
      <c r="B584" s="2">
        <v>44382.0</v>
      </c>
      <c r="C584" s="1" t="s">
        <v>1152</v>
      </c>
      <c r="D584" s="3" t="s">
        <v>258</v>
      </c>
      <c r="E584" s="1">
        <v>5.0</v>
      </c>
      <c r="F584" s="1" t="str">
        <f t="array" ref="F584">XLOOKUP(C584,customers!A583:A1583, customers!B583:B1583,0)</f>
        <v>Russell Donet</v>
      </c>
      <c r="G584" s="1" t="str">
        <f t="array" ref="G584">IF(XLOOKUP(C585,customers!$A$1:$A$1001,customers!$C$1:$C$1001,0)=0,"",XLOOKUP(C585,customers!$A$1:$A$1001,customers!$C$1:$C$1001,0))</f>
        <v>sgaweng7@creativecommons.org</v>
      </c>
      <c r="H584" s="1" t="str">
        <f t="array" ref="H584">XLOOKUP(C584,customers!$A$1:$A$1001,customers!$F$1:$F$1001,0)</f>
        <v>Richmond</v>
      </c>
    </row>
    <row r="585" ht="15.75" customHeight="1">
      <c r="A585" s="1" t="s">
        <v>1153</v>
      </c>
      <c r="B585" s="2">
        <v>43538.0</v>
      </c>
      <c r="C585" s="1" t="s">
        <v>1154</v>
      </c>
      <c r="D585" s="3" t="s">
        <v>195</v>
      </c>
      <c r="E585" s="1">
        <v>1.0</v>
      </c>
      <c r="F585" s="1" t="str">
        <f t="array" ref="F585">XLOOKUP(C585,customers!A584:A1584, customers!B584:B1584,0)</f>
        <v>Sidney Gawen</v>
      </c>
      <c r="G585" s="1" t="str">
        <f t="array" ref="G585">IF(XLOOKUP(C586,customers!$A$1:$A$1001,customers!$C$1:$C$1001,0)=0,"",XLOOKUP(C586,customers!$A$1:$A$1001,customers!$C$1:$C$1001,0))</f>
        <v>rreadieg8@guardian.co.uk</v>
      </c>
      <c r="H585" s="1" t="str">
        <f t="array" ref="H585">XLOOKUP(C585,customers!$A$1:$A$1001,customers!$F$1:$F$1001,0)</f>
        <v>Sterling</v>
      </c>
    </row>
    <row r="586" ht="15.75" customHeight="1">
      <c r="A586" s="1" t="s">
        <v>1155</v>
      </c>
      <c r="B586" s="2">
        <v>44262.0</v>
      </c>
      <c r="C586" s="1" t="s">
        <v>1156</v>
      </c>
      <c r="D586" s="3" t="s">
        <v>195</v>
      </c>
      <c r="E586" s="1">
        <v>6.0</v>
      </c>
      <c r="F586" s="1" t="str">
        <f t="array" ref="F586">XLOOKUP(C586,customers!A585:A1585, customers!B585:B1585,0)</f>
        <v>Rickey Readie</v>
      </c>
      <c r="G586" s="1" t="str">
        <f t="array" ref="G586">IF(XLOOKUP(C587,customers!$A$1:$A$1001,customers!$C$1:$C$1001,0)=0,"",XLOOKUP(C587,customers!$A$1:$A$1001,customers!$C$1:$C$1001,0))</f>
        <v>cverissimogh@theglobeandmail.com</v>
      </c>
      <c r="H586" s="1" t="str">
        <f t="array" ref="H586">XLOOKUP(C586,customers!$A$1:$A$1001,customers!$F$1:$F$1001,0)</f>
        <v>Carson City</v>
      </c>
    </row>
    <row r="587" ht="15.75" customHeight="1">
      <c r="A587" s="1" t="s">
        <v>1157</v>
      </c>
      <c r="B587" s="2">
        <v>44505.0</v>
      </c>
      <c r="C587" s="1" t="s">
        <v>1158</v>
      </c>
      <c r="D587" s="3" t="s">
        <v>16</v>
      </c>
      <c r="E587" s="1">
        <v>2.0</v>
      </c>
      <c r="F587" s="1" t="str">
        <f t="array" ref="F587">XLOOKUP(C587,customers!A586:A1586, customers!B586:B1586,0)</f>
        <v>Cody Verissimo</v>
      </c>
      <c r="G587" s="1" t="str">
        <f t="array" ref="G587">IF(XLOOKUP(C588,customers!$A$1:$A$1001,customers!$C$1:$C$1001,0)=0,"",XLOOKUP(C588,customers!$A$1:$A$1001,customers!$C$1:$C$1001,0))</f>
        <v/>
      </c>
      <c r="H587" s="1" t="str">
        <f t="array" ref="H587">XLOOKUP(C587,customers!$A$1:$A$1001,customers!$F$1:$F$1001,0)</f>
        <v>Upton</v>
      </c>
    </row>
    <row r="588" ht="15.75" customHeight="1">
      <c r="A588" s="1" t="s">
        <v>1159</v>
      </c>
      <c r="B588" s="2">
        <v>43867.0</v>
      </c>
      <c r="C588" s="1" t="s">
        <v>1160</v>
      </c>
      <c r="D588" s="3" t="s">
        <v>23</v>
      </c>
      <c r="E588" s="1">
        <v>3.0</v>
      </c>
      <c r="F588" s="1" t="str">
        <f t="array" ref="F588">XLOOKUP(C588,customers!A587:A1587, customers!B587:B1587,0)</f>
        <v>Zilvia Claisse</v>
      </c>
      <c r="G588" s="1" t="str">
        <f t="array" ref="G588">IF(XLOOKUP(C589,customers!$A$1:$A$1001,customers!$C$1:$C$1001,0)=0,"",XLOOKUP(C589,customers!$A$1:$A$1001,customers!$C$1:$C$1001,0))</f>
        <v>bogb@elpais.com</v>
      </c>
      <c r="H588" s="1" t="str">
        <f t="array" ref="H588">XLOOKUP(C588,customers!$A$1:$A$1001,customers!$F$1:$F$1001,0)</f>
        <v>Saint Paul</v>
      </c>
    </row>
    <row r="589" ht="15.75" customHeight="1">
      <c r="A589" s="1" t="s">
        <v>1161</v>
      </c>
      <c r="B589" s="2">
        <v>44267.0</v>
      </c>
      <c r="C589" s="1" t="s">
        <v>1162</v>
      </c>
      <c r="D589" s="3" t="s">
        <v>136</v>
      </c>
      <c r="E589" s="1">
        <v>1.0</v>
      </c>
      <c r="F589" s="1" t="str">
        <f t="array" ref="F589">XLOOKUP(C589,customers!A588:A1588, customers!B588:B1588,0)</f>
        <v>Bar O' Mahony</v>
      </c>
      <c r="G589" s="1" t="str">
        <f t="array" ref="G589">IF(XLOOKUP(C590,customers!$A$1:$A$1001,customers!$C$1:$C$1001,0)=0,"",XLOOKUP(C590,customers!$A$1:$A$1001,customers!$C$1:$C$1001,0))</f>
        <v>vstansburygc@unblog.fr</v>
      </c>
      <c r="H589" s="1" t="str">
        <f t="array" ref="H589">XLOOKUP(C589,customers!$A$1:$A$1001,customers!$F$1:$F$1001,0)</f>
        <v>Huntsville</v>
      </c>
    </row>
    <row r="590" ht="15.75" customHeight="1">
      <c r="A590" s="1" t="s">
        <v>1163</v>
      </c>
      <c r="B590" s="2">
        <v>44046.0</v>
      </c>
      <c r="C590" s="1" t="s">
        <v>1164</v>
      </c>
      <c r="D590" s="3" t="s">
        <v>35</v>
      </c>
      <c r="E590" s="1">
        <v>2.0</v>
      </c>
      <c r="F590" s="1" t="str">
        <f t="array" ref="F590">XLOOKUP(C590,customers!A589:A1589, customers!B589:B1589,0)</f>
        <v>Valenka Stansbury</v>
      </c>
      <c r="G590" s="1" t="str">
        <f t="array" ref="G590">IF(XLOOKUP(C591,customers!$A$1:$A$1001,customers!$C$1:$C$1001,0)=0,"",XLOOKUP(C591,customers!$A$1:$A$1001,customers!$C$1:$C$1001,0))</f>
        <v>dheinonengd@printfriendly.com</v>
      </c>
      <c r="H590" s="1" t="str">
        <f t="array" ref="H590">XLOOKUP(C590,customers!$A$1:$A$1001,customers!$F$1:$F$1001,0)</f>
        <v>El Paso</v>
      </c>
    </row>
    <row r="591" ht="15.75" customHeight="1">
      <c r="A591" s="1" t="s">
        <v>1165</v>
      </c>
      <c r="B591" s="2">
        <v>43671.0</v>
      </c>
      <c r="C591" s="1" t="s">
        <v>1166</v>
      </c>
      <c r="D591" s="3" t="s">
        <v>43</v>
      </c>
      <c r="E591" s="1">
        <v>6.0</v>
      </c>
      <c r="F591" s="1" t="str">
        <f t="array" ref="F591">XLOOKUP(C591,customers!A590:A1590, customers!B590:B1590,0)</f>
        <v>Daniel Heinonen</v>
      </c>
      <c r="G591" s="1" t="str">
        <f t="array" ref="G591">IF(XLOOKUP(C592,customers!$A$1:$A$1001,customers!$C$1:$C$1001,0)=0,"",XLOOKUP(C592,customers!$A$1:$A$1001,customers!$C$1:$C$1001,0))</f>
        <v>jshentonge@google.com.hk</v>
      </c>
      <c r="H591" s="1" t="str">
        <f t="array" ref="H591">XLOOKUP(C591,customers!$A$1:$A$1001,customers!$F$1:$F$1001,0)</f>
        <v>Decatur</v>
      </c>
    </row>
    <row r="592" ht="15.75" customHeight="1">
      <c r="A592" s="1" t="s">
        <v>1167</v>
      </c>
      <c r="B592" s="2">
        <v>43950.0</v>
      </c>
      <c r="C592" s="1" t="s">
        <v>1168</v>
      </c>
      <c r="D592" s="3" t="s">
        <v>125</v>
      </c>
      <c r="E592" s="1">
        <v>2.0</v>
      </c>
      <c r="F592" s="1" t="str">
        <f t="array" ref="F592">XLOOKUP(C592,customers!A591:A1591, customers!B591:B1591,0)</f>
        <v>Jewelle Shenton</v>
      </c>
      <c r="G592" s="1" t="str">
        <f t="array" ref="G592">IF(XLOOKUP(C593,customers!$A$1:$A$1001,customers!$C$1:$C$1001,0)=0,"",XLOOKUP(C593,customers!$A$1:$A$1001,customers!$C$1:$C$1001,0))</f>
        <v>jwilkissongf@nba.com</v>
      </c>
      <c r="H592" s="1" t="str">
        <f t="array" ref="H592">XLOOKUP(C592,customers!$A$1:$A$1001,customers!$F$1:$F$1001,0)</f>
        <v>Orange</v>
      </c>
    </row>
    <row r="593" ht="15.75" customHeight="1">
      <c r="A593" s="1" t="s">
        <v>1169</v>
      </c>
      <c r="B593" s="2">
        <v>43587.0</v>
      </c>
      <c r="C593" s="1" t="s">
        <v>1170</v>
      </c>
      <c r="D593" s="3" t="s">
        <v>114</v>
      </c>
      <c r="E593" s="1">
        <v>3.0</v>
      </c>
      <c r="F593" s="1" t="str">
        <f t="array" ref="F593">XLOOKUP(C593,customers!A592:A1592, customers!B592:B1592,0)</f>
        <v>Jennifer Wilkisson</v>
      </c>
      <c r="G593" s="1" t="str">
        <f t="array" ref="G593">IF(XLOOKUP(C594,customers!$A$1:$A$1001,customers!$C$1:$C$1001,0)=0,"",XLOOKUP(C594,customers!$A$1:$A$1001,customers!$C$1:$C$1001,0))</f>
        <v/>
      </c>
      <c r="H593" s="1" t="str">
        <f t="array" ref="H593">XLOOKUP(C593,customers!$A$1:$A$1001,customers!$F$1:$F$1001,0)</f>
        <v>Huntington Beach</v>
      </c>
    </row>
    <row r="594" ht="15.75" customHeight="1">
      <c r="A594" s="1" t="s">
        <v>1171</v>
      </c>
      <c r="B594" s="2">
        <v>44437.0</v>
      </c>
      <c r="C594" s="1" t="s">
        <v>1172</v>
      </c>
      <c r="D594" s="3" t="s">
        <v>184</v>
      </c>
      <c r="E594" s="1">
        <v>2.0</v>
      </c>
      <c r="F594" s="1" t="str">
        <f t="array" ref="F594">XLOOKUP(C594,customers!A593:A1593, customers!B593:B1593,0)</f>
        <v>Kylie Mowat</v>
      </c>
      <c r="G594" s="1" t="str">
        <f t="array" ref="G594">IF(XLOOKUP(C595,customers!$A$1:$A$1001,customers!$C$1:$C$1001,0)=0,"",XLOOKUP(C595,customers!$A$1:$A$1001,customers!$C$1:$C$1001,0))</f>
        <v>cverissimogh@theglobeandmail.com</v>
      </c>
      <c r="H594" s="1" t="str">
        <f t="array" ref="H594">XLOOKUP(C594,customers!$A$1:$A$1001,customers!$F$1:$F$1001,0)</f>
        <v>Milwaukee</v>
      </c>
    </row>
    <row r="595" ht="15.75" customHeight="1">
      <c r="A595" s="1" t="s">
        <v>1173</v>
      </c>
      <c r="B595" s="2">
        <v>43903.0</v>
      </c>
      <c r="C595" s="1" t="s">
        <v>1158</v>
      </c>
      <c r="D595" s="3" t="s">
        <v>543</v>
      </c>
      <c r="E595" s="1">
        <v>1.0</v>
      </c>
      <c r="F595" s="1" t="str">
        <f t="array" ref="F595">XLOOKUP(C595,customers!A594:A1594, customers!B594:B1594,0)</f>
        <v>Cody Verissimo</v>
      </c>
      <c r="G595" s="1" t="str">
        <f t="array" ref="G595">IF(XLOOKUP(C596,customers!$A$1:$A$1001,customers!$C$1:$C$1001,0)=0,"",XLOOKUP(C596,customers!$A$1:$A$1001,customers!$C$1:$C$1001,0))</f>
        <v>gstarcksgi@abc.net.au</v>
      </c>
      <c r="H595" s="1" t="str">
        <f t="array" ref="H595">XLOOKUP(C595,customers!$A$1:$A$1001,customers!$F$1:$F$1001,0)</f>
        <v>Upton</v>
      </c>
    </row>
    <row r="596" ht="15.75" customHeight="1">
      <c r="A596" s="1" t="s">
        <v>1174</v>
      </c>
      <c r="B596" s="2">
        <v>43512.0</v>
      </c>
      <c r="C596" s="1" t="s">
        <v>1175</v>
      </c>
      <c r="D596" s="3" t="s">
        <v>217</v>
      </c>
      <c r="E596" s="1">
        <v>2.0</v>
      </c>
      <c r="F596" s="1" t="str">
        <f t="array" ref="F596">XLOOKUP(C596,customers!A595:A1595, customers!B595:B1595,0)</f>
        <v>Gabriel Starcks</v>
      </c>
      <c r="G596" s="1" t="str">
        <f t="array" ref="G596">IF(XLOOKUP(C597,customers!$A$1:$A$1001,customers!$C$1:$C$1001,0)=0,"",XLOOKUP(C597,customers!$A$1:$A$1001,customers!$C$1:$C$1001,0))</f>
        <v/>
      </c>
      <c r="H596" s="1" t="str">
        <f t="array" ref="H596">XLOOKUP(C596,customers!$A$1:$A$1001,customers!$F$1:$F$1001,0)</f>
        <v>Chattanooga</v>
      </c>
    </row>
    <row r="597" ht="15.75" customHeight="1">
      <c r="A597" s="1" t="s">
        <v>1176</v>
      </c>
      <c r="B597" s="2">
        <v>44527.0</v>
      </c>
      <c r="C597" s="1" t="s">
        <v>1177</v>
      </c>
      <c r="D597" s="3" t="s">
        <v>150</v>
      </c>
      <c r="E597" s="1">
        <v>1.0</v>
      </c>
      <c r="F597" s="1" t="str">
        <f t="array" ref="F597">XLOOKUP(C597,customers!A596:A1596, customers!B596:B1596,0)</f>
        <v>Darby Dummer</v>
      </c>
      <c r="G597" s="1" t="str">
        <f t="array" ref="G597">IF(XLOOKUP(C598,customers!$A$1:$A$1001,customers!$C$1:$C$1001,0)=0,"",XLOOKUP(C598,customers!$A$1:$A$1001,customers!$C$1:$C$1001,0))</f>
        <v>kscholardgk@sbwire.com</v>
      </c>
      <c r="H597" s="1" t="str">
        <f t="array" ref="H597">XLOOKUP(C597,customers!$A$1:$A$1001,customers!$F$1:$F$1001,0)</f>
        <v>Manchester</v>
      </c>
    </row>
    <row r="598" ht="15.75" customHeight="1">
      <c r="A598" s="1" t="s">
        <v>1178</v>
      </c>
      <c r="B598" s="2">
        <v>44523.0</v>
      </c>
      <c r="C598" s="1" t="s">
        <v>1179</v>
      </c>
      <c r="D598" s="3" t="s">
        <v>80</v>
      </c>
      <c r="E598" s="1">
        <v>5.0</v>
      </c>
      <c r="F598" s="1" t="str">
        <f t="array" ref="F598">XLOOKUP(C598,customers!A597:A1597, customers!B597:B1597,0)</f>
        <v>Kienan Scholard</v>
      </c>
      <c r="G598" s="1" t="str">
        <f t="array" ref="G598">IF(XLOOKUP(C599,customers!$A$1:$A$1001,customers!$C$1:$C$1001,0)=0,"",XLOOKUP(C599,customers!$A$1:$A$1001,customers!$C$1:$C$1001,0))</f>
        <v>bkindleygl@wikimedia.org</v>
      </c>
      <c r="H598" s="1" t="str">
        <f t="array" ref="H598">XLOOKUP(C598,customers!$A$1:$A$1001,customers!$F$1:$F$1001,0)</f>
        <v>Columbus</v>
      </c>
    </row>
    <row r="599" ht="15.75" customHeight="1">
      <c r="A599" s="1" t="s">
        <v>1180</v>
      </c>
      <c r="B599" s="2">
        <v>44532.0</v>
      </c>
      <c r="C599" s="1" t="s">
        <v>1181</v>
      </c>
      <c r="D599" s="3" t="s">
        <v>117</v>
      </c>
      <c r="E599" s="1">
        <v>4.0</v>
      </c>
      <c r="F599" s="1" t="str">
        <f t="array" ref="F599">XLOOKUP(C599,customers!A598:A1598, customers!B598:B1598,0)</f>
        <v>Bo Kindley</v>
      </c>
      <c r="G599" s="1" t="str">
        <f t="array" ref="G599">IF(XLOOKUP(C600,customers!$A$1:$A$1001,customers!$C$1:$C$1001,0)=0,"",XLOOKUP(C600,customers!$A$1:$A$1001,customers!$C$1:$C$1001,0))</f>
        <v>khammettgm@dmoz.org</v>
      </c>
      <c r="H599" s="1" t="str">
        <f t="array" ref="H599">XLOOKUP(C599,customers!$A$1:$A$1001,customers!$F$1:$F$1001,0)</f>
        <v>Pasadena</v>
      </c>
    </row>
    <row r="600" ht="15.75" customHeight="1">
      <c r="A600" s="1" t="s">
        <v>1182</v>
      </c>
      <c r="B600" s="2">
        <v>43471.0</v>
      </c>
      <c r="C600" s="1" t="s">
        <v>1183</v>
      </c>
      <c r="D600" s="3" t="s">
        <v>175</v>
      </c>
      <c r="E600" s="1">
        <v>4.0</v>
      </c>
      <c r="F600" s="1" t="str">
        <f t="array" ref="F600">XLOOKUP(C600,customers!A599:A1599, customers!B599:B1599,0)</f>
        <v>Krissie Hammett</v>
      </c>
      <c r="G600" s="1" t="str">
        <f t="array" ref="G600">IF(XLOOKUP(C601,customers!$A$1:$A$1001,customers!$C$1:$C$1001,0)=0,"",XLOOKUP(C601,customers!$A$1:$A$1001,customers!$C$1:$C$1001,0))</f>
        <v>ahulburtgn@fda.gov</v>
      </c>
      <c r="H600" s="1" t="str">
        <f t="array" ref="H600">XLOOKUP(C600,customers!$A$1:$A$1001,customers!$F$1:$F$1001,0)</f>
        <v>San Francisco</v>
      </c>
    </row>
    <row r="601" ht="15.75" customHeight="1">
      <c r="A601" s="1" t="s">
        <v>1184</v>
      </c>
      <c r="B601" s="2">
        <v>44321.0</v>
      </c>
      <c r="C601" s="1" t="s">
        <v>1185</v>
      </c>
      <c r="D601" s="3" t="s">
        <v>67</v>
      </c>
      <c r="E601" s="1">
        <v>4.0</v>
      </c>
      <c r="F601" s="1" t="str">
        <f t="array" ref="F601">XLOOKUP(C601,customers!A600:A1600, customers!B600:B1600,0)</f>
        <v>Alisha Hulburt</v>
      </c>
      <c r="G601" s="1" t="str">
        <f t="array" ref="G601">IF(XLOOKUP(C602,customers!$A$1:$A$1001,customers!$C$1:$C$1001,0)=0,"",XLOOKUP(C602,customers!$A$1:$A$1001,customers!$C$1:$C$1001,0))</f>
        <v>plauritzengo@photobucket.com</v>
      </c>
      <c r="H601" s="1" t="str">
        <f t="array" ref="H601">XLOOKUP(C601,customers!$A$1:$A$1001,customers!$F$1:$F$1001,0)</f>
        <v>Shreveport</v>
      </c>
    </row>
    <row r="602" ht="15.75" customHeight="1">
      <c r="A602" s="1" t="s">
        <v>1186</v>
      </c>
      <c r="B602" s="2">
        <v>44492.0</v>
      </c>
      <c r="C602" s="1" t="s">
        <v>1187</v>
      </c>
      <c r="D602" s="3" t="s">
        <v>136</v>
      </c>
      <c r="E602" s="1">
        <v>1.0</v>
      </c>
      <c r="F602" s="1" t="str">
        <f t="array" ref="F602">XLOOKUP(C602,customers!A601:A1601, customers!B601:B1601,0)</f>
        <v>Peyter Lauritzen</v>
      </c>
      <c r="G602" s="1" t="str">
        <f t="array" ref="G602">IF(XLOOKUP(C603,customers!$A$1:$A$1001,customers!$C$1:$C$1001,0)=0,"",XLOOKUP(C603,customers!$A$1:$A$1001,customers!$C$1:$C$1001,0))</f>
        <v>aburgwingp@redcross.org</v>
      </c>
      <c r="H602" s="1" t="str">
        <f t="array" ref="H602">XLOOKUP(C602,customers!$A$1:$A$1001,customers!$F$1:$F$1001,0)</f>
        <v>Philadelphia</v>
      </c>
    </row>
    <row r="603" ht="15.75" customHeight="1">
      <c r="A603" s="1" t="s">
        <v>1188</v>
      </c>
      <c r="B603" s="2">
        <v>43815.0</v>
      </c>
      <c r="C603" s="1" t="s">
        <v>1189</v>
      </c>
      <c r="D603" s="3" t="s">
        <v>23</v>
      </c>
      <c r="E603" s="1">
        <v>4.0</v>
      </c>
      <c r="F603" s="1" t="str">
        <f t="array" ref="F603">XLOOKUP(C603,customers!A602:A1602, customers!B602:B1602,0)</f>
        <v>Aurelia Burgwin</v>
      </c>
      <c r="G603" s="1" t="str">
        <f t="array" ref="G603">IF(XLOOKUP(C604,customers!$A$1:$A$1001,customers!$C$1:$C$1001,0)=0,"",XLOOKUP(C604,customers!$A$1:$A$1001,customers!$C$1:$C$1001,0))</f>
        <v>erolingq@google.fr</v>
      </c>
      <c r="H603" s="1" t="str">
        <f t="array" ref="H603">XLOOKUP(C603,customers!$A$1:$A$1001,customers!$F$1:$F$1001,0)</f>
        <v>Migrate</v>
      </c>
    </row>
    <row r="604" ht="15.75" customHeight="1">
      <c r="A604" s="1" t="s">
        <v>1190</v>
      </c>
      <c r="B604" s="2">
        <v>43603.0</v>
      </c>
      <c r="C604" s="1" t="s">
        <v>1191</v>
      </c>
      <c r="D604" s="3" t="s">
        <v>267</v>
      </c>
      <c r="E604" s="1">
        <v>5.0</v>
      </c>
      <c r="F604" s="1" t="str">
        <f t="array" ref="F604">XLOOKUP(C604,customers!A603:A1603, customers!B603:B1603,0)</f>
        <v>Emalee Rolin</v>
      </c>
      <c r="G604" s="1" t="str">
        <f t="array" ref="G604">IF(XLOOKUP(C605,customers!$A$1:$A$1001,customers!$C$1:$C$1001,0)=0,"",XLOOKUP(C605,customers!$A$1:$A$1001,customers!$C$1:$C$1001,0))</f>
        <v>dfowlegr@epa.gov</v>
      </c>
      <c r="H604" s="1" t="str">
        <f t="array" ref="H604">XLOOKUP(C604,customers!$A$1:$A$1001,customers!$F$1:$F$1001,0)</f>
        <v>Toledo</v>
      </c>
    </row>
    <row r="605" ht="15.75" customHeight="1">
      <c r="A605" s="1" t="s">
        <v>1192</v>
      </c>
      <c r="B605" s="2">
        <v>43660.0</v>
      </c>
      <c r="C605" s="1" t="s">
        <v>1193</v>
      </c>
      <c r="D605" s="3" t="s">
        <v>175</v>
      </c>
      <c r="E605" s="1">
        <v>3.0</v>
      </c>
      <c r="F605" s="1" t="str">
        <f t="array" ref="F605">XLOOKUP(C605,customers!A604:A1604, customers!B604:B1604,0)</f>
        <v>Donavon Fowle</v>
      </c>
      <c r="G605" s="1" t="str">
        <f t="array" ref="G605">IF(XLOOKUP(C606,customers!$A$1:$A$1001,customers!$C$1:$C$1001,0)=0,"",XLOOKUP(C606,customers!$A$1:$A$1001,customers!$C$1:$C$1001,0))</f>
        <v/>
      </c>
      <c r="H605" s="1" t="str">
        <f t="array" ref="H605">XLOOKUP(C605,customers!$A$1:$A$1001,customers!$F$1:$F$1001,0)</f>
        <v>Colorado Springs</v>
      </c>
    </row>
    <row r="606" ht="15.75" customHeight="1">
      <c r="A606" s="1" t="s">
        <v>1194</v>
      </c>
      <c r="B606" s="2">
        <v>44148.0</v>
      </c>
      <c r="C606" s="1" t="s">
        <v>1195</v>
      </c>
      <c r="D606" s="3" t="s">
        <v>122</v>
      </c>
      <c r="E606" s="1">
        <v>4.0</v>
      </c>
      <c r="F606" s="1" t="str">
        <f t="array" ref="F606">XLOOKUP(C606,customers!A605:A1605, customers!B605:B1605,0)</f>
        <v>Jorge Bettison</v>
      </c>
      <c r="G606" s="1" t="str">
        <f t="array" ref="G606">IF(XLOOKUP(C607,customers!$A$1:$A$1001,customers!$C$1:$C$1001,0)=0,"",XLOOKUP(C607,customers!$A$1:$A$1001,customers!$C$1:$C$1001,0))</f>
        <v>wpowleslandgt@soundcloud.com</v>
      </c>
      <c r="H606" s="1" t="str">
        <f t="array" ref="H606">XLOOKUP(C606,customers!$A$1:$A$1001,customers!$F$1:$F$1001,0)</f>
        <v>Longwood</v>
      </c>
    </row>
    <row r="607" ht="15.75" customHeight="1">
      <c r="A607" s="1" t="s">
        <v>1196</v>
      </c>
      <c r="B607" s="2">
        <v>44028.0</v>
      </c>
      <c r="C607" s="1" t="s">
        <v>1197</v>
      </c>
      <c r="D607" s="3" t="s">
        <v>217</v>
      </c>
      <c r="E607" s="1">
        <v>5.0</v>
      </c>
      <c r="F607" s="1" t="str">
        <f t="array" ref="F607">XLOOKUP(C607,customers!A606:A1606, customers!B606:B1606,0)</f>
        <v>Wang Powlesland</v>
      </c>
      <c r="G607" s="1" t="str">
        <f t="array" ref="G607">IF(XLOOKUP(C608,customers!$A$1:$A$1001,customers!$C$1:$C$1001,0)=0,"",XLOOKUP(C608,customers!$A$1:$A$1001,customers!$C$1:$C$1001,0))</f>
        <v>cverissimogh@theglobeandmail.com</v>
      </c>
      <c r="H607" s="1" t="str">
        <f t="array" ref="H607">XLOOKUP(C607,customers!$A$1:$A$1001,customers!$F$1:$F$1001,0)</f>
        <v>Pittsburgh</v>
      </c>
    </row>
    <row r="608" ht="15.75" customHeight="1">
      <c r="A608" s="1" t="s">
        <v>1198</v>
      </c>
      <c r="B608" s="2">
        <v>44138.0</v>
      </c>
      <c r="C608" s="1" t="s">
        <v>1158</v>
      </c>
      <c r="D608" s="3" t="s">
        <v>117</v>
      </c>
      <c r="E608" s="1">
        <v>3.0</v>
      </c>
      <c r="F608" s="1">
        <f t="array" ref="F608">XLOOKUP(C608,customers!A607:A1607, customers!B607:B1607,0)</f>
        <v>0</v>
      </c>
      <c r="G608" s="1" t="str">
        <f t="array" ref="G608">IF(XLOOKUP(C609,customers!$A$1:$A$1001,customers!$C$1:$C$1001,0)=0,"",XLOOKUP(C609,customers!$A$1:$A$1001,customers!$C$1:$C$1001,0))</f>
        <v>lellinghamgv@sciencedaily.com</v>
      </c>
      <c r="H608" s="1" t="str">
        <f t="array" ref="H608">XLOOKUP(C608,customers!$A$1:$A$1001,customers!$F$1:$F$1001,0)</f>
        <v>Upton</v>
      </c>
    </row>
    <row r="609" ht="15.75" customHeight="1">
      <c r="A609" s="1" t="s">
        <v>1199</v>
      </c>
      <c r="B609" s="2">
        <v>44640.0</v>
      </c>
      <c r="C609" s="1" t="s">
        <v>1200</v>
      </c>
      <c r="D609" s="3" t="s">
        <v>64</v>
      </c>
      <c r="E609" s="1">
        <v>1.0</v>
      </c>
      <c r="F609" s="1" t="str">
        <f t="array" ref="F609">XLOOKUP(C609,customers!A608:A1608, customers!B608:B1608,0)</f>
        <v>Laurence Ellingham</v>
      </c>
      <c r="G609" s="1" t="str">
        <f t="array" ref="G609">IF(XLOOKUP(C610,customers!$A$1:$A$1001,customers!$C$1:$C$1001,0)=0,"",XLOOKUP(C610,customers!$A$1:$A$1001,customers!$C$1:$C$1001,0))</f>
        <v/>
      </c>
      <c r="H609" s="1" t="str">
        <f t="array" ref="H609">XLOOKUP(C609,customers!$A$1:$A$1001,customers!$F$1:$F$1001,0)</f>
        <v>Shreveport</v>
      </c>
    </row>
    <row r="610" ht="15.75" customHeight="1">
      <c r="A610" s="1" t="s">
        <v>1201</v>
      </c>
      <c r="B610" s="2">
        <v>44608.0</v>
      </c>
      <c r="C610" s="1" t="s">
        <v>1202</v>
      </c>
      <c r="D610" s="3" t="s">
        <v>543</v>
      </c>
      <c r="E610" s="1">
        <v>2.0</v>
      </c>
      <c r="F610" s="1" t="str">
        <f t="array" ref="F610">XLOOKUP(C610,customers!A609:A1609, customers!B609:B1609,0)</f>
        <v>Billy Neiland</v>
      </c>
      <c r="G610" s="1" t="str">
        <f t="array" ref="G610">IF(XLOOKUP(C611,customers!$A$1:$A$1001,customers!$C$1:$C$1001,0)=0,"",XLOOKUP(C611,customers!$A$1:$A$1001,customers!$C$1:$C$1001,0))</f>
        <v>afendtgx@forbes.com</v>
      </c>
      <c r="H610" s="1" t="str">
        <f t="array" ref="H610">XLOOKUP(C610,customers!$A$1:$A$1001,customers!$F$1:$F$1001,0)</f>
        <v>Cleveland</v>
      </c>
    </row>
    <row r="611" ht="15.75" customHeight="1">
      <c r="A611" s="1" t="s">
        <v>1203</v>
      </c>
      <c r="B611" s="2">
        <v>44147.0</v>
      </c>
      <c r="C611" s="1" t="s">
        <v>1204</v>
      </c>
      <c r="D611" s="3" t="s">
        <v>90</v>
      </c>
      <c r="E611" s="1">
        <v>6.0</v>
      </c>
      <c r="F611" s="1" t="str">
        <f t="array" ref="F611">XLOOKUP(C611,customers!A610:A1610, customers!B610:B1610,0)</f>
        <v>Ancell Fendt</v>
      </c>
      <c r="G611" s="1" t="str">
        <f t="array" ref="G611">IF(XLOOKUP(C612,customers!$A$1:$A$1001,customers!$C$1:$C$1001,0)=0,"",XLOOKUP(C612,customers!$A$1:$A$1001,customers!$C$1:$C$1001,0))</f>
        <v>acleyburngy@lycos.com</v>
      </c>
      <c r="H611" s="1" t="str">
        <f t="array" ref="H611">XLOOKUP(C611,customers!$A$1:$A$1001,customers!$F$1:$F$1001,0)</f>
        <v>Milwaukee</v>
      </c>
    </row>
    <row r="612" ht="15.75" customHeight="1">
      <c r="A612" s="1" t="s">
        <v>1205</v>
      </c>
      <c r="B612" s="2">
        <v>43743.0</v>
      </c>
      <c r="C612" s="1" t="s">
        <v>1206</v>
      </c>
      <c r="D612" s="3" t="s">
        <v>15</v>
      </c>
      <c r="E612" s="1">
        <v>4.0</v>
      </c>
      <c r="F612" s="1" t="str">
        <f t="array" ref="F612">XLOOKUP(C612,customers!A611:A1611, customers!B611:B1611,0)</f>
        <v>Angelia Cleyburn</v>
      </c>
      <c r="G612" s="1" t="str">
        <f t="array" ref="G612">IF(XLOOKUP(C613,customers!$A$1:$A$1001,customers!$C$1:$C$1001,0)=0,"",XLOOKUP(C613,customers!$A$1:$A$1001,customers!$C$1:$C$1001,0))</f>
        <v>tcastiglionegz@xing.com</v>
      </c>
      <c r="H612" s="1" t="str">
        <f t="array" ref="H612">XLOOKUP(C612,customers!$A$1:$A$1001,customers!$F$1:$F$1001,0)</f>
        <v>Fort Lauderdale</v>
      </c>
    </row>
    <row r="613" ht="15.75" customHeight="1">
      <c r="A613" s="1" t="s">
        <v>1207</v>
      </c>
      <c r="B613" s="2">
        <v>43739.0</v>
      </c>
      <c r="C613" s="1" t="s">
        <v>1208</v>
      </c>
      <c r="D613" s="3" t="s">
        <v>43</v>
      </c>
      <c r="E613" s="1">
        <v>2.0</v>
      </c>
      <c r="F613" s="1" t="str">
        <f t="array" ref="F613">XLOOKUP(C613,customers!A612:A1612, customers!B612:B1612,0)</f>
        <v>Temple Castiglione</v>
      </c>
      <c r="G613" s="1" t="str">
        <f t="array" ref="G613">IF(XLOOKUP(C614,customers!$A$1:$A$1001,customers!$C$1:$C$1001,0)=0,"",XLOOKUP(C614,customers!$A$1:$A$1001,customers!$C$1:$C$1001,0))</f>
        <v/>
      </c>
      <c r="H613" s="1" t="str">
        <f t="array" ref="H613">XLOOKUP(C613,customers!$A$1:$A$1001,customers!$F$1:$F$1001,0)</f>
        <v>Shreveport</v>
      </c>
    </row>
    <row r="614" ht="15.75" customHeight="1">
      <c r="A614" s="1" t="s">
        <v>1209</v>
      </c>
      <c r="B614" s="2">
        <v>43896.0</v>
      </c>
      <c r="C614" s="1" t="s">
        <v>1210</v>
      </c>
      <c r="D614" s="3" t="s">
        <v>57</v>
      </c>
      <c r="E614" s="1">
        <v>4.0</v>
      </c>
      <c r="F614" s="1" t="str">
        <f t="array" ref="F614">XLOOKUP(C614,customers!A613:A1613, customers!B613:B1613,0)</f>
        <v>Betti Lacasa</v>
      </c>
      <c r="G614" s="1" t="str">
        <f t="array" ref="G614">IF(XLOOKUP(C615,customers!$A$1:$A$1001,customers!$C$1:$C$1001,0)=0,"",XLOOKUP(C615,customers!$A$1:$A$1001,customers!$C$1:$C$1001,0))</f>
        <v/>
      </c>
      <c r="H614" s="1" t="str">
        <f t="array" ref="H614">XLOOKUP(C614,customers!$A$1:$A$1001,customers!$F$1:$F$1001,0)</f>
        <v>Beaumont</v>
      </c>
    </row>
    <row r="615" ht="15.75" customHeight="1">
      <c r="A615" s="1" t="s">
        <v>1211</v>
      </c>
      <c r="B615" s="2">
        <v>43761.0</v>
      </c>
      <c r="C615" s="1" t="s">
        <v>1212</v>
      </c>
      <c r="D615" s="3" t="s">
        <v>35</v>
      </c>
      <c r="E615" s="1">
        <v>1.0</v>
      </c>
      <c r="F615" s="1" t="str">
        <f t="array" ref="F615">XLOOKUP(C615,customers!A614:A1614, customers!B614:B1614,0)</f>
        <v>Gunilla Lynch</v>
      </c>
      <c r="G615" s="1" t="str">
        <f t="array" ref="G615">IF(XLOOKUP(C616,customers!$A$1:$A$1001,customers!$C$1:$C$1001,0)=0,"",XLOOKUP(C616,customers!$A$1:$A$1001,customers!$C$1:$C$1001,0))</f>
        <v>cverissimogh@theglobeandmail.com</v>
      </c>
      <c r="H615" s="1" t="str">
        <f t="array" ref="H615">XLOOKUP(C615,customers!$A$1:$A$1001,customers!$F$1:$F$1001,0)</f>
        <v>Sacramento</v>
      </c>
    </row>
    <row r="616" ht="15.75" customHeight="1">
      <c r="A616" s="1" t="s">
        <v>1213</v>
      </c>
      <c r="B616" s="2">
        <v>43944.0</v>
      </c>
      <c r="C616" s="1" t="s">
        <v>1158</v>
      </c>
      <c r="D616" s="3" t="s">
        <v>35</v>
      </c>
      <c r="E616" s="1">
        <v>5.0</v>
      </c>
      <c r="F616" s="1">
        <f t="array" ref="F616">XLOOKUP(C616,customers!A615:A1615, customers!B615:B1615,0)</f>
        <v>0</v>
      </c>
      <c r="G616" s="1" t="str">
        <f t="array" ref="G616">IF(XLOOKUP(C617,customers!$A$1:$A$1001,customers!$C$1:$C$1001,0)=0,"",XLOOKUP(C617,customers!$A$1:$A$1001,customers!$C$1:$C$1001,0))</f>
        <v>scouronneh3@mozilla.org</v>
      </c>
      <c r="H616" s="1" t="str">
        <f t="array" ref="H616">XLOOKUP(C616,customers!$A$1:$A$1001,customers!$F$1:$F$1001,0)</f>
        <v>Upton</v>
      </c>
    </row>
    <row r="617" ht="15.75" customHeight="1">
      <c r="A617" s="1" t="s">
        <v>1214</v>
      </c>
      <c r="B617" s="2">
        <v>44006.0</v>
      </c>
      <c r="C617" s="1" t="s">
        <v>1215</v>
      </c>
      <c r="D617" s="3" t="s">
        <v>117</v>
      </c>
      <c r="E617" s="1">
        <v>2.0</v>
      </c>
      <c r="F617" s="1" t="str">
        <f t="array" ref="F617">XLOOKUP(C617,customers!A616:A1616, customers!B616:B1616,0)</f>
        <v>Shay Couronne</v>
      </c>
      <c r="G617" s="1" t="str">
        <f t="array" ref="G617">IF(XLOOKUP(C618,customers!$A$1:$A$1001,customers!$C$1:$C$1001,0)=0,"",XLOOKUP(C618,customers!$A$1:$A$1001,customers!$C$1:$C$1001,0))</f>
        <v>lflippellih4@github.io</v>
      </c>
      <c r="H617" s="1" t="str">
        <f t="array" ref="H617">XLOOKUP(C617,customers!$A$1:$A$1001,customers!$F$1:$F$1001,0)</f>
        <v>Fargo</v>
      </c>
    </row>
    <row r="618" ht="15.75" customHeight="1">
      <c r="A618" s="1" t="s">
        <v>1216</v>
      </c>
      <c r="B618" s="2">
        <v>44271.0</v>
      </c>
      <c r="C618" s="1" t="s">
        <v>1217</v>
      </c>
      <c r="D618" s="3" t="s">
        <v>125</v>
      </c>
      <c r="E618" s="1">
        <v>4.0</v>
      </c>
      <c r="F618" s="1" t="str">
        <f t="array" ref="F618">XLOOKUP(C618,customers!A617:A1617, customers!B617:B1617,0)</f>
        <v>Linus Flippelli</v>
      </c>
      <c r="G618" s="1" t="str">
        <f t="array" ref="G618">IF(XLOOKUP(C619,customers!$A$1:$A$1001,customers!$C$1:$C$1001,0)=0,"",XLOOKUP(C619,customers!$A$1:$A$1001,customers!$C$1:$C$1001,0))</f>
        <v>relizabethh5@live.com</v>
      </c>
      <c r="H618" s="1" t="str">
        <f t="array" ref="H618">XLOOKUP(C618,customers!$A$1:$A$1001,customers!$F$1:$F$1001,0)</f>
        <v>Middleton</v>
      </c>
    </row>
    <row r="619" ht="15.75" customHeight="1">
      <c r="A619" s="1" t="s">
        <v>1218</v>
      </c>
      <c r="B619" s="2">
        <v>43928.0</v>
      </c>
      <c r="C619" s="1" t="s">
        <v>1219</v>
      </c>
      <c r="D619" s="3" t="s">
        <v>210</v>
      </c>
      <c r="E619" s="1">
        <v>1.0</v>
      </c>
      <c r="F619" s="1" t="str">
        <f t="array" ref="F619">XLOOKUP(C619,customers!A618:A1618, customers!B618:B1618,0)</f>
        <v>Rachelle Elizabeth</v>
      </c>
      <c r="G619" s="1" t="str">
        <f t="array" ref="G619">IF(XLOOKUP(C620,customers!$A$1:$A$1001,customers!$C$1:$C$1001,0)=0,"",XLOOKUP(C620,customers!$A$1:$A$1001,customers!$C$1:$C$1001,0))</f>
        <v>irenhardh6@i2i.jp</v>
      </c>
      <c r="H619" s="1" t="str">
        <f t="array" ref="H619">XLOOKUP(C619,customers!$A$1:$A$1001,customers!$F$1:$F$1001,0)</f>
        <v>Tulsa</v>
      </c>
    </row>
    <row r="620" ht="15.75" customHeight="1">
      <c r="A620" s="1" t="s">
        <v>1220</v>
      </c>
      <c r="B620" s="2">
        <v>44469.0</v>
      </c>
      <c r="C620" s="1" t="s">
        <v>1221</v>
      </c>
      <c r="D620" s="3" t="s">
        <v>258</v>
      </c>
      <c r="E620" s="1">
        <v>6.0</v>
      </c>
      <c r="F620" s="1" t="str">
        <f t="array" ref="F620">XLOOKUP(C620,customers!A619:A1619, customers!B619:B1619,0)</f>
        <v>Innis Renhard</v>
      </c>
      <c r="G620" s="1" t="str">
        <f t="array" ref="G620">IF(XLOOKUP(C621,customers!$A$1:$A$1001,customers!$C$1:$C$1001,0)=0,"",XLOOKUP(C621,customers!$A$1:$A$1001,customers!$C$1:$C$1001,0))</f>
        <v>wrocheh7@xinhuanet.com</v>
      </c>
      <c r="H620" s="1" t="str">
        <f t="array" ref="H620">XLOOKUP(C620,customers!$A$1:$A$1001,customers!$F$1:$F$1001,0)</f>
        <v>New York City</v>
      </c>
    </row>
    <row r="621" ht="15.75" customHeight="1">
      <c r="A621" s="1" t="s">
        <v>1222</v>
      </c>
      <c r="B621" s="2">
        <v>44682.0</v>
      </c>
      <c r="C621" s="1" t="s">
        <v>1223</v>
      </c>
      <c r="D621" s="3" t="s">
        <v>136</v>
      </c>
      <c r="E621" s="1">
        <v>2.0</v>
      </c>
      <c r="F621" s="1" t="str">
        <f t="array" ref="F621">XLOOKUP(C621,customers!A620:A1620, customers!B620:B1620,0)</f>
        <v>Winne Roche</v>
      </c>
      <c r="G621" s="1" t="str">
        <f t="array" ref="G621">IF(XLOOKUP(C622,customers!$A$1:$A$1001,customers!$C$1:$C$1001,0)=0,"",XLOOKUP(C622,customers!$A$1:$A$1001,customers!$C$1:$C$1001,0))</f>
        <v>lalawayhh@weather.com</v>
      </c>
      <c r="H621" s="1" t="str">
        <f t="array" ref="H621">XLOOKUP(C621,customers!$A$1:$A$1001,customers!$F$1:$F$1001,0)</f>
        <v>Seminole</v>
      </c>
    </row>
    <row r="622" ht="15.75" customHeight="1">
      <c r="A622" s="1" t="s">
        <v>1224</v>
      </c>
      <c r="B622" s="2">
        <v>44217.0</v>
      </c>
      <c r="C622" s="1" t="s">
        <v>1225</v>
      </c>
      <c r="D622" s="3" t="s">
        <v>57</v>
      </c>
      <c r="E622" s="1">
        <v>6.0</v>
      </c>
      <c r="F622" s="1" t="str">
        <f t="array" ref="F622">XLOOKUP(C622,customers!A621:A1621, customers!B621:B1621,0)</f>
        <v>Linn Alaway</v>
      </c>
      <c r="G622" s="1" t="str">
        <f t="array" ref="G622">IF(XLOOKUP(C623,customers!$A$1:$A$1001,customers!$C$1:$C$1001,0)=0,"",XLOOKUP(C623,customers!$A$1:$A$1001,customers!$C$1:$C$1001,0))</f>
        <v>codgaardh9@nsw.gov.au</v>
      </c>
      <c r="H622" s="1" t="str">
        <f t="array" ref="H622">XLOOKUP(C622,customers!$A$1:$A$1001,customers!$F$1:$F$1001,0)</f>
        <v>Fort Lauderdale</v>
      </c>
    </row>
    <row r="623" ht="15.75" customHeight="1">
      <c r="A623" s="1" t="s">
        <v>1226</v>
      </c>
      <c r="B623" s="2">
        <v>44006.0</v>
      </c>
      <c r="C623" s="1" t="s">
        <v>1227</v>
      </c>
      <c r="D623" s="3" t="s">
        <v>19</v>
      </c>
      <c r="E623" s="1">
        <v>6.0</v>
      </c>
      <c r="F623" s="1" t="str">
        <f t="array" ref="F623">XLOOKUP(C623,customers!A622:A1622, customers!B622:B1622,0)</f>
        <v>Cordy Odgaard</v>
      </c>
      <c r="G623" s="1" t="str">
        <f t="array" ref="G623">IF(XLOOKUP(C624,customers!$A$1:$A$1001,customers!$C$1:$C$1001,0)=0,"",XLOOKUP(C624,customers!$A$1:$A$1001,customers!$C$1:$C$1001,0))</f>
        <v>bbyrdha@4shared.com</v>
      </c>
      <c r="H623" s="1" t="str">
        <f t="array" ref="H623">XLOOKUP(C623,customers!$A$1:$A$1001,customers!$F$1:$F$1001,0)</f>
        <v>Portland</v>
      </c>
    </row>
    <row r="624" ht="15.75" customHeight="1">
      <c r="A624" s="1" t="s">
        <v>1228</v>
      </c>
      <c r="B624" s="2">
        <v>43527.0</v>
      </c>
      <c r="C624" s="1" t="s">
        <v>1229</v>
      </c>
      <c r="D624" s="3" t="s">
        <v>210</v>
      </c>
      <c r="E624" s="1">
        <v>4.0</v>
      </c>
      <c r="F624" s="1" t="str">
        <f t="array" ref="F624">XLOOKUP(C624,customers!A623:A1623, customers!B623:B1623,0)</f>
        <v>Bertine Byrd</v>
      </c>
      <c r="G624" s="1" t="str">
        <f t="array" ref="G624">IF(XLOOKUP(C625,customers!$A$1:$A$1001,customers!$C$1:$C$1001,0)=0,"",XLOOKUP(C625,customers!$A$1:$A$1001,customers!$C$1:$C$1001,0))</f>
        <v/>
      </c>
      <c r="H624" s="1" t="str">
        <f t="array" ref="H624">XLOOKUP(C624,customers!$A$1:$A$1001,customers!$F$1:$F$1001,0)</f>
        <v>Las Vegas</v>
      </c>
    </row>
    <row r="625" ht="15.75" customHeight="1">
      <c r="A625" s="1" t="s">
        <v>1230</v>
      </c>
      <c r="B625" s="2">
        <v>44224.0</v>
      </c>
      <c r="C625" s="1" t="s">
        <v>1231</v>
      </c>
      <c r="D625" s="3" t="s">
        <v>258</v>
      </c>
      <c r="E625" s="1">
        <v>1.0</v>
      </c>
      <c r="F625" s="1" t="str">
        <f t="array" ref="F625">XLOOKUP(C625,customers!A624:A1624, customers!B624:B1624,0)</f>
        <v>Nelie Garnson</v>
      </c>
      <c r="G625" s="1" t="str">
        <f t="array" ref="G625">IF(XLOOKUP(C626,customers!$A$1:$A$1001,customers!$C$1:$C$1001,0)=0,"",XLOOKUP(C626,customers!$A$1:$A$1001,customers!$C$1:$C$1001,0))</f>
        <v>dchardinhc@nhs.uk</v>
      </c>
      <c r="H625" s="1" t="str">
        <f t="array" ref="H625">XLOOKUP(C625,customers!$A$1:$A$1001,customers!$F$1:$F$1001,0)</f>
        <v>Merton</v>
      </c>
    </row>
    <row r="626" ht="15.75" customHeight="1">
      <c r="A626" s="1" t="s">
        <v>1232</v>
      </c>
      <c r="B626" s="2">
        <v>44010.0</v>
      </c>
      <c r="C626" s="1" t="s">
        <v>1233</v>
      </c>
      <c r="D626" s="3" t="s">
        <v>125</v>
      </c>
      <c r="E626" s="1">
        <v>2.0</v>
      </c>
      <c r="F626" s="1" t="str">
        <f t="array" ref="F626">XLOOKUP(C626,customers!A625:A1625, customers!B625:B1625,0)</f>
        <v>Dianne Chardin</v>
      </c>
      <c r="G626" s="1" t="str">
        <f t="array" ref="G626">IF(XLOOKUP(C627,customers!$A$1:$A$1001,customers!$C$1:$C$1001,0)=0,"",XLOOKUP(C627,customers!$A$1:$A$1001,customers!$C$1:$C$1001,0))</f>
        <v>hradbonehd@newsvine.com</v>
      </c>
      <c r="H626" s="1" t="str">
        <f t="array" ref="H626">XLOOKUP(C626,customers!$A$1:$A$1001,customers!$F$1:$F$1001,0)</f>
        <v>Ballybofey</v>
      </c>
    </row>
    <row r="627" ht="15.75" customHeight="1">
      <c r="A627" s="1" t="s">
        <v>1234</v>
      </c>
      <c r="B627" s="2">
        <v>44017.0</v>
      </c>
      <c r="C627" s="1" t="s">
        <v>1235</v>
      </c>
      <c r="D627" s="3" t="s">
        <v>170</v>
      </c>
      <c r="E627" s="1">
        <v>5.0</v>
      </c>
      <c r="F627" s="1" t="str">
        <f t="array" ref="F627">XLOOKUP(C627,customers!A626:A1626, customers!B626:B1626,0)</f>
        <v>Hailee Radbone</v>
      </c>
      <c r="G627" s="1" t="str">
        <f t="array" ref="G627">IF(XLOOKUP(C628,customers!$A$1:$A$1001,customers!$C$1:$C$1001,0)=0,"",XLOOKUP(C628,customers!$A$1:$A$1001,customers!$C$1:$C$1001,0))</f>
        <v>wbernthhe@miitbeian.gov.cn</v>
      </c>
      <c r="H627" s="1" t="str">
        <f t="array" ref="H627">XLOOKUP(C627,customers!$A$1:$A$1001,customers!$F$1:$F$1001,0)</f>
        <v>San Francisco</v>
      </c>
    </row>
    <row r="628" ht="15.75" customHeight="1">
      <c r="A628" s="1" t="s">
        <v>1236</v>
      </c>
      <c r="B628" s="2">
        <v>43526.0</v>
      </c>
      <c r="C628" s="1" t="s">
        <v>1237</v>
      </c>
      <c r="D628" s="3" t="s">
        <v>184</v>
      </c>
      <c r="E628" s="1">
        <v>3.0</v>
      </c>
      <c r="F628" s="1" t="str">
        <f t="array" ref="F628">XLOOKUP(C628,customers!A627:A1627, customers!B627:B1627,0)</f>
        <v>Wallis Bernth</v>
      </c>
      <c r="G628" s="1" t="str">
        <f t="array" ref="G628">IF(XLOOKUP(C629,customers!$A$1:$A$1001,customers!$C$1:$C$1001,0)=0,"",XLOOKUP(C629,customers!$A$1:$A$1001,customers!$C$1:$C$1001,0))</f>
        <v>bacarsonhf@cnn.com</v>
      </c>
      <c r="H628" s="1" t="str">
        <f t="array" ref="H628">XLOOKUP(C628,customers!$A$1:$A$1001,customers!$F$1:$F$1001,0)</f>
        <v>Pittsburgh</v>
      </c>
    </row>
    <row r="629" ht="15.75" customHeight="1">
      <c r="A629" s="1" t="s">
        <v>1238</v>
      </c>
      <c r="B629" s="2">
        <v>44682.0</v>
      </c>
      <c r="C629" s="1" t="s">
        <v>1239</v>
      </c>
      <c r="D629" s="3" t="s">
        <v>125</v>
      </c>
      <c r="E629" s="1">
        <v>2.0</v>
      </c>
      <c r="F629" s="1" t="str">
        <f t="array" ref="F629">XLOOKUP(C629,customers!A628:A1628, customers!B628:B1628,0)</f>
        <v>Byron Acarson</v>
      </c>
      <c r="G629" s="1" t="str">
        <f t="array" ref="G629">IF(XLOOKUP(C630,customers!$A$1:$A$1001,customers!$C$1:$C$1001,0)=0,"",XLOOKUP(C630,customers!$A$1:$A$1001,customers!$C$1:$C$1001,0))</f>
        <v>fbrighamhg@blog.com</v>
      </c>
      <c r="H629" s="1" t="str">
        <f t="array" ref="H629">XLOOKUP(C629,customers!$A$1:$A$1001,customers!$F$1:$F$1001,0)</f>
        <v>Houston</v>
      </c>
    </row>
    <row r="630" ht="15.75" customHeight="1">
      <c r="A630" s="1" t="s">
        <v>1240</v>
      </c>
      <c r="B630" s="2">
        <v>44680.0</v>
      </c>
      <c r="C630" s="1" t="s">
        <v>1241</v>
      </c>
      <c r="D630" s="3" t="s">
        <v>267</v>
      </c>
      <c r="E630" s="1">
        <v>6.0</v>
      </c>
      <c r="F630" s="1" t="str">
        <f t="array" ref="F630">XLOOKUP(C630,customers!A629:A1629, customers!B629:B1629,0)</f>
        <v>Faunie Brigham</v>
      </c>
      <c r="G630" s="1" t="str">
        <f t="array" ref="G630">IF(XLOOKUP(C631,customers!$A$1:$A$1001,customers!$C$1:$C$1001,0)=0,"",XLOOKUP(C631,customers!$A$1:$A$1001,customers!$C$1:$C$1001,0))</f>
        <v>fbrighamhg@blog.com</v>
      </c>
      <c r="H630" s="1" t="str">
        <f t="array" ref="H630">XLOOKUP(C630,customers!$A$1:$A$1001,customers!$F$1:$F$1001,0)</f>
        <v>Castlerea</v>
      </c>
    </row>
    <row r="631" ht="15.75" customHeight="1">
      <c r="A631" s="1" t="s">
        <v>1240</v>
      </c>
      <c r="B631" s="2">
        <v>44680.0</v>
      </c>
      <c r="C631" s="1" t="s">
        <v>1241</v>
      </c>
      <c r="D631" s="3" t="s">
        <v>136</v>
      </c>
      <c r="E631" s="1">
        <v>4.0</v>
      </c>
      <c r="F631" s="1" t="str">
        <f t="array" ref="F631">XLOOKUP(C631,customers!A630:A1630, customers!B630:B1630,0)</f>
        <v>Faunie Brigham</v>
      </c>
      <c r="G631" s="1" t="str">
        <f t="array" ref="G631">IF(XLOOKUP(C632,customers!$A$1:$A$1001,customers!$C$1:$C$1001,0)=0,"",XLOOKUP(C632,customers!$A$1:$A$1001,customers!$C$1:$C$1001,0))</f>
        <v>fbrighamhg@blog.com</v>
      </c>
      <c r="H631" s="1" t="str">
        <f t="array" ref="H631">XLOOKUP(C631,customers!$A$1:$A$1001,customers!$F$1:$F$1001,0)</f>
        <v>Castlerea</v>
      </c>
    </row>
    <row r="632" ht="15.75" customHeight="1">
      <c r="A632" s="1" t="s">
        <v>1240</v>
      </c>
      <c r="B632" s="2">
        <v>44680.0</v>
      </c>
      <c r="C632" s="1" t="s">
        <v>1241</v>
      </c>
      <c r="D632" s="3" t="s">
        <v>67</v>
      </c>
      <c r="E632" s="1">
        <v>1.0</v>
      </c>
      <c r="F632" s="1">
        <f t="array" ref="F632">XLOOKUP(C632,customers!A631:A1631, customers!B631:B1631,0)</f>
        <v>0</v>
      </c>
      <c r="G632" s="1" t="str">
        <f t="array" ref="G632">IF(XLOOKUP(C633,customers!$A$1:$A$1001,customers!$C$1:$C$1001,0)=0,"",XLOOKUP(C633,customers!$A$1:$A$1001,customers!$C$1:$C$1001,0))</f>
        <v>fbrighamhg@blog.com</v>
      </c>
      <c r="H632" s="1" t="str">
        <f t="array" ref="H632">XLOOKUP(C632,customers!$A$1:$A$1001,customers!$F$1:$F$1001,0)</f>
        <v>Castlerea</v>
      </c>
    </row>
    <row r="633" ht="15.75" customHeight="1">
      <c r="A633" s="1" t="s">
        <v>1240</v>
      </c>
      <c r="B633" s="2">
        <v>44680.0</v>
      </c>
      <c r="C633" s="1" t="s">
        <v>1241</v>
      </c>
      <c r="D633" s="3" t="s">
        <v>48</v>
      </c>
      <c r="E633" s="1">
        <v>5.0</v>
      </c>
      <c r="F633" s="1">
        <f t="array" ref="F633">XLOOKUP(C633,customers!A632:A1632, customers!B632:B1632,0)</f>
        <v>0</v>
      </c>
      <c r="G633" s="1" t="str">
        <f t="array" ref="G633">IF(XLOOKUP(C634,customers!$A$1:$A$1001,customers!$C$1:$C$1001,0)=0,"",XLOOKUP(C634,customers!$A$1:$A$1001,customers!$C$1:$C$1001,0))</f>
        <v>myoxenhk@google.com</v>
      </c>
      <c r="H633" s="1" t="str">
        <f t="array" ref="H633">XLOOKUP(C633,customers!$A$1:$A$1001,customers!$F$1:$F$1001,0)</f>
        <v>Castlerea</v>
      </c>
    </row>
    <row r="634" ht="15.75" customHeight="1">
      <c r="A634" s="1" t="s">
        <v>1242</v>
      </c>
      <c r="B634" s="2">
        <v>44049.0</v>
      </c>
      <c r="C634" s="1" t="s">
        <v>1243</v>
      </c>
      <c r="D634" s="3" t="s">
        <v>189</v>
      </c>
      <c r="E634" s="1">
        <v>4.0</v>
      </c>
      <c r="F634" s="1" t="str">
        <f t="array" ref="F634">XLOOKUP(C634,customers!A633:A1633, customers!B633:B1633,0)</f>
        <v>Marjorie Yoxen</v>
      </c>
      <c r="G634" s="1" t="str">
        <f t="array" ref="G634">IF(XLOOKUP(C635,customers!$A$1:$A$1001,customers!$C$1:$C$1001,0)=0,"",XLOOKUP(C635,customers!$A$1:$A$1001,customers!$C$1:$C$1001,0))</f>
        <v>gmcgavinhl@histats.com</v>
      </c>
      <c r="H634" s="1" t="str">
        <f t="array" ref="H634">XLOOKUP(C634,customers!$A$1:$A$1001,customers!$F$1:$F$1001,0)</f>
        <v>Los Angeles</v>
      </c>
    </row>
    <row r="635" ht="15.75" customHeight="1">
      <c r="A635" s="1" t="s">
        <v>1244</v>
      </c>
      <c r="B635" s="2">
        <v>43820.0</v>
      </c>
      <c r="C635" s="1" t="s">
        <v>1245</v>
      </c>
      <c r="D635" s="3" t="s">
        <v>202</v>
      </c>
      <c r="E635" s="1">
        <v>4.0</v>
      </c>
      <c r="F635" s="1" t="str">
        <f t="array" ref="F635">XLOOKUP(C635,customers!A634:A1634, customers!B634:B1634,0)</f>
        <v>Gaspar McGavin</v>
      </c>
      <c r="G635" s="1" t="str">
        <f t="array" ref="G635">IF(XLOOKUP(C636,customers!$A$1:$A$1001,customers!$C$1:$C$1001,0)=0,"",XLOOKUP(C636,customers!$A$1:$A$1001,customers!$C$1:$C$1001,0))</f>
        <v>luttermarehm@engadget.com</v>
      </c>
      <c r="H635" s="1" t="str">
        <f t="array" ref="H635">XLOOKUP(C635,customers!$A$1:$A$1001,customers!$F$1:$F$1001,0)</f>
        <v>Wilkes Barre</v>
      </c>
    </row>
    <row r="636" ht="15.75" customHeight="1">
      <c r="A636" s="1" t="s">
        <v>1246</v>
      </c>
      <c r="B636" s="2">
        <v>43940.0</v>
      </c>
      <c r="C636" s="1" t="s">
        <v>1247</v>
      </c>
      <c r="D636" s="3" t="s">
        <v>109</v>
      </c>
      <c r="E636" s="1">
        <v>3.0</v>
      </c>
      <c r="F636" s="1" t="str">
        <f t="array" ref="F636">XLOOKUP(C636,customers!A635:A1635, customers!B635:B1635,0)</f>
        <v>Lindy Uttermare</v>
      </c>
      <c r="G636" s="1" t="str">
        <f t="array" ref="G636">IF(XLOOKUP(C637,customers!$A$1:$A$1001,customers!$C$1:$C$1001,0)=0,"",XLOOKUP(C637,customers!$A$1:$A$1001,customers!$C$1:$C$1001,0))</f>
        <v>edambrogiohn@techcrunch.com</v>
      </c>
      <c r="H636" s="1" t="str">
        <f t="array" ref="H636">XLOOKUP(C636,customers!$A$1:$A$1001,customers!$F$1:$F$1001,0)</f>
        <v>Denton</v>
      </c>
    </row>
    <row r="637" ht="15.75" customHeight="1">
      <c r="A637" s="1" t="s">
        <v>1248</v>
      </c>
      <c r="B637" s="2">
        <v>44578.0</v>
      </c>
      <c r="C637" s="1" t="s">
        <v>1249</v>
      </c>
      <c r="D637" s="3" t="s">
        <v>189</v>
      </c>
      <c r="E637" s="1">
        <v>4.0</v>
      </c>
      <c r="F637" s="1" t="str">
        <f t="array" ref="F637">XLOOKUP(C637,customers!A636:A1636, customers!B636:B1636,0)</f>
        <v>Eal D'Ambrogio</v>
      </c>
      <c r="G637" s="1" t="str">
        <f t="array" ref="G637">IF(XLOOKUP(C638,customers!$A$1:$A$1001,customers!$C$1:$C$1001,0)=0,"",XLOOKUP(C638,customers!$A$1:$A$1001,customers!$C$1:$C$1001,0))</f>
        <v>cwinchcombeho@jiathis.com</v>
      </c>
      <c r="H637" s="1" t="str">
        <f t="array" ref="H637">XLOOKUP(C637,customers!$A$1:$A$1001,customers!$F$1:$F$1001,0)</f>
        <v>Lees Summit</v>
      </c>
    </row>
    <row r="638" ht="15.75" customHeight="1">
      <c r="A638" s="1" t="s">
        <v>1250</v>
      </c>
      <c r="B638" s="2">
        <v>43487.0</v>
      </c>
      <c r="C638" s="1" t="s">
        <v>1251</v>
      </c>
      <c r="D638" s="3" t="s">
        <v>145</v>
      </c>
      <c r="E638" s="1">
        <v>6.0</v>
      </c>
      <c r="F638" s="1" t="str">
        <f t="array" ref="F638">XLOOKUP(C638,customers!A637:A1637, customers!B637:B1637,0)</f>
        <v>Carolee Winchcombe</v>
      </c>
      <c r="G638" s="1" t="str">
        <f t="array" ref="G638">IF(XLOOKUP(C639,customers!$A$1:$A$1001,customers!$C$1:$C$1001,0)=0,"",XLOOKUP(C639,customers!$A$1:$A$1001,customers!$C$1:$C$1001,0))</f>
        <v>bpaumierhp@umn.edu</v>
      </c>
      <c r="H638" s="1" t="str">
        <f t="array" ref="H638">XLOOKUP(C638,customers!$A$1:$A$1001,customers!$F$1:$F$1001,0)</f>
        <v>Little Rock</v>
      </c>
    </row>
    <row r="639" ht="15.75" customHeight="1">
      <c r="A639" s="1" t="s">
        <v>1252</v>
      </c>
      <c r="B639" s="2">
        <v>43889.0</v>
      </c>
      <c r="C639" s="1" t="s">
        <v>1253</v>
      </c>
      <c r="D639" s="3" t="s">
        <v>125</v>
      </c>
      <c r="E639" s="1">
        <v>1.0</v>
      </c>
      <c r="F639" s="1" t="str">
        <f t="array" ref="F639">XLOOKUP(C639,customers!A638:A1638, customers!B638:B1638,0)</f>
        <v>Benedikta Paumier</v>
      </c>
      <c r="G639" s="1" t="str">
        <f t="array" ref="G639">IF(XLOOKUP(C640,customers!$A$1:$A$1001,customers!$C$1:$C$1001,0)=0,"",XLOOKUP(C640,customers!$A$1:$A$1001,customers!$C$1:$C$1001,0))</f>
        <v/>
      </c>
      <c r="H639" s="1" t="str">
        <f t="array" ref="H639">XLOOKUP(C639,customers!$A$1:$A$1001,customers!$F$1:$F$1001,0)</f>
        <v>Ballisodare</v>
      </c>
    </row>
    <row r="640" ht="15.75" customHeight="1">
      <c r="A640" s="1" t="s">
        <v>1254</v>
      </c>
      <c r="B640" s="2">
        <v>43684.0</v>
      </c>
      <c r="C640" s="1" t="s">
        <v>1255</v>
      </c>
      <c r="D640" s="3" t="s">
        <v>184</v>
      </c>
      <c r="E640" s="1">
        <v>3.0</v>
      </c>
      <c r="F640" s="1" t="str">
        <f t="array" ref="F640">XLOOKUP(C640,customers!A639:A1639, customers!B639:B1639,0)</f>
        <v>Neville Piatto</v>
      </c>
      <c r="G640" s="1" t="str">
        <f t="array" ref="G640">IF(XLOOKUP(C641,customers!$A$1:$A$1001,customers!$C$1:$C$1001,0)=0,"",XLOOKUP(C641,customers!$A$1:$A$1001,customers!$C$1:$C$1001,0))</f>
        <v>jcapeyhr@bravesites.com</v>
      </c>
      <c r="H640" s="1" t="str">
        <f t="array" ref="H640">XLOOKUP(C640,customers!$A$1:$A$1001,customers!$F$1:$F$1001,0)</f>
        <v>Daingean</v>
      </c>
    </row>
    <row r="641" ht="15.75" customHeight="1">
      <c r="A641" s="1" t="s">
        <v>1256</v>
      </c>
      <c r="B641" s="2">
        <v>44331.0</v>
      </c>
      <c r="C641" s="1" t="s">
        <v>1257</v>
      </c>
      <c r="D641" s="3" t="s">
        <v>51</v>
      </c>
      <c r="E641" s="1">
        <v>1.0</v>
      </c>
      <c r="F641" s="1" t="str">
        <f t="array" ref="F641">XLOOKUP(C641,customers!A640:A1640, customers!B640:B1640,0)</f>
        <v>Jeno Capey</v>
      </c>
      <c r="G641" s="1" t="str">
        <f t="array" ref="G641">IF(XLOOKUP(C642,customers!$A$1:$A$1001,customers!$C$1:$C$1001,0)=0,"",XLOOKUP(C642,customers!$A$1:$A$1001,customers!$C$1:$C$1001,0))</f>
        <v>tmathonneti0@google.co.jp</v>
      </c>
      <c r="H641" s="1" t="str">
        <f t="array" ref="H641">XLOOKUP(C641,customers!$A$1:$A$1001,customers!$F$1:$F$1001,0)</f>
        <v>Erie</v>
      </c>
    </row>
    <row r="642" ht="15.75" customHeight="1">
      <c r="A642" s="1" t="s">
        <v>1258</v>
      </c>
      <c r="B642" s="2">
        <v>44547.0</v>
      </c>
      <c r="C642" s="1" t="s">
        <v>1259</v>
      </c>
      <c r="D642" s="3" t="s">
        <v>23</v>
      </c>
      <c r="E642" s="1">
        <v>5.0</v>
      </c>
      <c r="F642" s="1" t="str">
        <f t="array" ref="F642">XLOOKUP(C642,customers!A641:A1641, customers!B641:B1641,0)</f>
        <v>Tuckie Mathonnet</v>
      </c>
      <c r="G642" s="1" t="str">
        <f t="array" ref="G642">IF(XLOOKUP(C643,customers!$A$1:$A$1001,customers!$C$1:$C$1001,0)=0,"",XLOOKUP(C643,customers!$A$1:$A$1001,customers!$C$1:$C$1001,0))</f>
        <v>ybasillht@theguardian.com</v>
      </c>
      <c r="H642" s="1" t="str">
        <f t="array" ref="H642">XLOOKUP(C642,customers!$A$1:$A$1001,customers!$F$1:$F$1001,0)</f>
        <v>Columbus</v>
      </c>
    </row>
    <row r="643" ht="15.75" customHeight="1">
      <c r="A643" s="1" t="s">
        <v>1260</v>
      </c>
      <c r="B643" s="2">
        <v>44448.0</v>
      </c>
      <c r="C643" s="1" t="s">
        <v>1261</v>
      </c>
      <c r="D643" s="3" t="s">
        <v>202</v>
      </c>
      <c r="E643" s="1">
        <v>3.0</v>
      </c>
      <c r="F643" s="1" t="str">
        <f t="array" ref="F643">XLOOKUP(C643,customers!A642:A1642, customers!B642:B1642,0)</f>
        <v>Yardley Basill</v>
      </c>
      <c r="G643" s="1" t="str">
        <f t="array" ref="G643">IF(XLOOKUP(C644,customers!$A$1:$A$1001,customers!$C$1:$C$1001,0)=0,"",XLOOKUP(C644,customers!$A$1:$A$1001,customers!$C$1:$C$1001,0))</f>
        <v>mbaistowhu@i2i.jp</v>
      </c>
      <c r="H643" s="1" t="str">
        <f t="array" ref="H643">XLOOKUP(C643,customers!$A$1:$A$1001,customers!$F$1:$F$1001,0)</f>
        <v>Pittsburgh</v>
      </c>
    </row>
    <row r="644" ht="15.75" customHeight="1">
      <c r="A644" s="1" t="s">
        <v>1262</v>
      </c>
      <c r="B644" s="2">
        <v>43880.0</v>
      </c>
      <c r="C644" s="1" t="s">
        <v>1263</v>
      </c>
      <c r="D644" s="3" t="s">
        <v>77</v>
      </c>
      <c r="E644" s="1">
        <v>2.0</v>
      </c>
      <c r="F644" s="1" t="str">
        <f t="array" ref="F644">XLOOKUP(C644,customers!A643:A1643, customers!B643:B1643,0)</f>
        <v>Maggy Baistow</v>
      </c>
      <c r="G644" s="1" t="str">
        <f t="array" ref="G644">IF(XLOOKUP(C645,customers!$A$1:$A$1001,customers!$C$1:$C$1001,0)=0,"",XLOOKUP(C645,customers!$A$1:$A$1001,customers!$C$1:$C$1001,0))</f>
        <v>cpallanthv@typepad.com</v>
      </c>
      <c r="H644" s="1" t="str">
        <f t="array" ref="H644">XLOOKUP(C644,customers!$A$1:$A$1001,customers!$F$1:$F$1001,0)</f>
        <v>Ford</v>
      </c>
    </row>
    <row r="645" ht="15.75" customHeight="1">
      <c r="A645" s="1" t="s">
        <v>1264</v>
      </c>
      <c r="B645" s="2">
        <v>44011.0</v>
      </c>
      <c r="C645" s="1" t="s">
        <v>1265</v>
      </c>
      <c r="D645" s="3" t="s">
        <v>43</v>
      </c>
      <c r="E645" s="1">
        <v>3.0</v>
      </c>
      <c r="F645" s="1" t="str">
        <f t="array" ref="F645">XLOOKUP(C645,customers!A644:A1644, customers!B644:B1644,0)</f>
        <v>Courtney Pallant</v>
      </c>
      <c r="G645" s="1" t="str">
        <f t="array" ref="G645">IF(XLOOKUP(C646,customers!$A$1:$A$1001,customers!$C$1:$C$1001,0)=0,"",XLOOKUP(C646,customers!$A$1:$A$1001,customers!$C$1:$C$1001,0))</f>
        <v/>
      </c>
      <c r="H645" s="1" t="str">
        <f t="array" ref="H645">XLOOKUP(C645,customers!$A$1:$A$1001,customers!$F$1:$F$1001,0)</f>
        <v>Dallas</v>
      </c>
    </row>
    <row r="646" ht="15.75" customHeight="1">
      <c r="A646" s="1" t="s">
        <v>1266</v>
      </c>
      <c r="B646" s="2">
        <v>44694.0</v>
      </c>
      <c r="C646" s="1" t="s">
        <v>1267</v>
      </c>
      <c r="D646" s="3" t="s">
        <v>48</v>
      </c>
      <c r="E646" s="1">
        <v>2.0</v>
      </c>
      <c r="F646" s="1" t="str">
        <f t="array" ref="F646">XLOOKUP(C646,customers!A645:A1645, customers!B645:B1645,0)</f>
        <v>Marne Mingey</v>
      </c>
      <c r="G646" s="1" t="str">
        <f t="array" ref="G646">IF(XLOOKUP(C647,customers!$A$1:$A$1001,customers!$C$1:$C$1001,0)=0,"",XLOOKUP(C647,customers!$A$1:$A$1001,customers!$C$1:$C$1001,0))</f>
        <v>dohx@redcross.org</v>
      </c>
      <c r="H646" s="1" t="str">
        <f t="array" ref="H646">XLOOKUP(C646,customers!$A$1:$A$1001,customers!$F$1:$F$1001,0)</f>
        <v>Miami</v>
      </c>
    </row>
    <row r="647" ht="15.75" customHeight="1">
      <c r="A647" s="1" t="s">
        <v>1268</v>
      </c>
      <c r="B647" s="2">
        <v>44106.0</v>
      </c>
      <c r="C647" s="1" t="s">
        <v>1269</v>
      </c>
      <c r="D647" s="3" t="s">
        <v>131</v>
      </c>
      <c r="E647" s="1">
        <v>3.0</v>
      </c>
      <c r="F647" s="1" t="str">
        <f t="array" ref="F647">XLOOKUP(C647,customers!A646:A1646, customers!B646:B1646,0)</f>
        <v>Denny O' Ronan</v>
      </c>
      <c r="G647" s="1" t="str">
        <f t="array" ref="G647">IF(XLOOKUP(C648,customers!$A$1:$A$1001,customers!$C$1:$C$1001,0)=0,"",XLOOKUP(C648,customers!$A$1:$A$1001,customers!$C$1:$C$1001,0))</f>
        <v>drallinhy@howstuffworks.com</v>
      </c>
      <c r="H647" s="1" t="str">
        <f t="array" ref="H647">XLOOKUP(C647,customers!$A$1:$A$1001,customers!$F$1:$F$1001,0)</f>
        <v>San Angelo</v>
      </c>
    </row>
    <row r="648" ht="15.75" customHeight="1">
      <c r="A648" s="1" t="s">
        <v>1270</v>
      </c>
      <c r="B648" s="2">
        <v>44532.0</v>
      </c>
      <c r="C648" s="1" t="s">
        <v>1271</v>
      </c>
      <c r="D648" s="3" t="s">
        <v>40</v>
      </c>
      <c r="E648" s="1">
        <v>1.0</v>
      </c>
      <c r="F648" s="1" t="str">
        <f t="array" ref="F648">XLOOKUP(C648,customers!A647:A1647, customers!B647:B1647,0)</f>
        <v>Dottie Rallin</v>
      </c>
      <c r="G648" s="1" t="str">
        <f t="array" ref="G648">IF(XLOOKUP(C649,customers!$A$1:$A$1001,customers!$C$1:$C$1001,0)=0,"",XLOOKUP(C649,customers!$A$1:$A$1001,customers!$C$1:$C$1001,0))</f>
        <v>achillhz@epa.gov</v>
      </c>
      <c r="H648" s="1" t="str">
        <f t="array" ref="H648">XLOOKUP(C648,customers!$A$1:$A$1001,customers!$F$1:$F$1001,0)</f>
        <v>Albany</v>
      </c>
    </row>
    <row r="649" ht="15.75" customHeight="1">
      <c r="A649" s="1" t="s">
        <v>1272</v>
      </c>
      <c r="B649" s="2">
        <v>44502.0</v>
      </c>
      <c r="C649" s="1" t="s">
        <v>1273</v>
      </c>
      <c r="D649" s="3" t="s">
        <v>96</v>
      </c>
      <c r="E649" s="1">
        <v>3.0</v>
      </c>
      <c r="F649" s="1" t="str">
        <f t="array" ref="F649">XLOOKUP(C649,customers!A648:A1648, customers!B648:B1648,0)</f>
        <v>Ardith Chill</v>
      </c>
      <c r="G649" s="1" t="str">
        <f t="array" ref="G649">IF(XLOOKUP(C650,customers!$A$1:$A$1001,customers!$C$1:$C$1001,0)=0,"",XLOOKUP(C650,customers!$A$1:$A$1001,customers!$C$1:$C$1001,0))</f>
        <v>tmathonneti0@google.co.jp</v>
      </c>
      <c r="H649" s="1" t="str">
        <f t="array" ref="H649">XLOOKUP(C649,customers!$A$1:$A$1001,customers!$F$1:$F$1001,0)</f>
        <v>Thorpe</v>
      </c>
    </row>
    <row r="650" ht="15.75" customHeight="1">
      <c r="A650" s="1" t="s">
        <v>1274</v>
      </c>
      <c r="B650" s="2">
        <v>43884.0</v>
      </c>
      <c r="C650" s="1" t="s">
        <v>1259</v>
      </c>
      <c r="D650" s="3" t="s">
        <v>114</v>
      </c>
      <c r="E650" s="1">
        <v>6.0</v>
      </c>
      <c r="F650" s="1" t="str">
        <f t="array" ref="F650">XLOOKUP(C650,customers!A649:A1649, customers!B649:B1649,0)</f>
        <v>Tuckie Mathonnet</v>
      </c>
      <c r="G650" s="1" t="str">
        <f t="array" ref="G650">IF(XLOOKUP(C651,customers!$A$1:$A$1001,customers!$C$1:$C$1001,0)=0,"",XLOOKUP(C651,customers!$A$1:$A$1001,customers!$C$1:$C$1001,0))</f>
        <v>cdenysi1@is.gd</v>
      </c>
      <c r="H650" s="1" t="str">
        <f t="array" ref="H650">XLOOKUP(C650,customers!$A$1:$A$1001,customers!$F$1:$F$1001,0)</f>
        <v>Columbus</v>
      </c>
    </row>
    <row r="651" ht="15.75" customHeight="1">
      <c r="A651" s="1" t="s">
        <v>1275</v>
      </c>
      <c r="B651" s="2">
        <v>44015.0</v>
      </c>
      <c r="C651" s="1" t="s">
        <v>1276</v>
      </c>
      <c r="D651" s="3" t="s">
        <v>145</v>
      </c>
      <c r="E651" s="1">
        <v>6.0</v>
      </c>
      <c r="F651" s="1" t="str">
        <f t="array" ref="F651">XLOOKUP(C651,customers!A650:A1650, customers!B650:B1650,0)</f>
        <v>Charmane Denys</v>
      </c>
      <c r="G651" s="1" t="str">
        <f t="array" ref="G651">IF(XLOOKUP(C652,customers!$A$1:$A$1001,customers!$C$1:$C$1001,0)=0,"",XLOOKUP(C652,customers!$A$1:$A$1001,customers!$C$1:$C$1001,0))</f>
        <v>cstebbingsi2@drupal.org</v>
      </c>
      <c r="H651" s="1" t="str">
        <f t="array" ref="H651">XLOOKUP(C651,customers!$A$1:$A$1001,customers!$F$1:$F$1001,0)</f>
        <v>Carlton</v>
      </c>
    </row>
    <row r="652" ht="15.75" customHeight="1">
      <c r="A652" s="1" t="s">
        <v>1277</v>
      </c>
      <c r="B652" s="2">
        <v>43507.0</v>
      </c>
      <c r="C652" s="1" t="s">
        <v>1278</v>
      </c>
      <c r="D652" s="3" t="s">
        <v>159</v>
      </c>
      <c r="E652" s="1">
        <v>1.0</v>
      </c>
      <c r="F652" s="1" t="str">
        <f t="array" ref="F652">XLOOKUP(C652,customers!A651:A1651, customers!B651:B1651,0)</f>
        <v>Cecily Stebbings</v>
      </c>
      <c r="G652" s="1" t="str">
        <f t="array" ref="G652">IF(XLOOKUP(C653,customers!$A$1:$A$1001,customers!$C$1:$C$1001,0)=0,"",XLOOKUP(C653,customers!$A$1:$A$1001,customers!$C$1:$C$1001,0))</f>
        <v/>
      </c>
      <c r="H652" s="1" t="str">
        <f t="array" ref="H652">XLOOKUP(C652,customers!$A$1:$A$1001,customers!$F$1:$F$1001,0)</f>
        <v>Corona</v>
      </c>
    </row>
    <row r="653" ht="15.75" customHeight="1">
      <c r="A653" s="1" t="s">
        <v>1279</v>
      </c>
      <c r="B653" s="2">
        <v>44084.0</v>
      </c>
      <c r="C653" s="1" t="s">
        <v>1280</v>
      </c>
      <c r="D653" s="3" t="s">
        <v>202</v>
      </c>
      <c r="E653" s="1">
        <v>4.0</v>
      </c>
      <c r="F653" s="1" t="str">
        <f t="array" ref="F653">XLOOKUP(C653,customers!A652:A1652, customers!B652:B1652,0)</f>
        <v>Giana Tonnesen</v>
      </c>
      <c r="G653" s="1" t="str">
        <f t="array" ref="G653">IF(XLOOKUP(C654,customers!$A$1:$A$1001,customers!$C$1:$C$1001,0)=0,"",XLOOKUP(C654,customers!$A$1:$A$1001,customers!$C$1:$C$1001,0))</f>
        <v>rzywickii4@ifeng.com</v>
      </c>
      <c r="H653" s="1" t="str">
        <f t="array" ref="H653">XLOOKUP(C653,customers!$A$1:$A$1001,customers!$F$1:$F$1001,0)</f>
        <v>Washington</v>
      </c>
    </row>
    <row r="654" ht="15.75" customHeight="1">
      <c r="A654" s="1" t="s">
        <v>1281</v>
      </c>
      <c r="B654" s="2">
        <v>43892.0</v>
      </c>
      <c r="C654" s="1" t="s">
        <v>1282</v>
      </c>
      <c r="D654" s="3" t="s">
        <v>145</v>
      </c>
      <c r="E654" s="1">
        <v>4.0</v>
      </c>
      <c r="F654" s="1" t="str">
        <f t="array" ref="F654">XLOOKUP(C654,customers!A653:A1653, customers!B653:B1653,0)</f>
        <v>Rhetta Zywicki</v>
      </c>
      <c r="G654" s="1" t="str">
        <f t="array" ref="G654">IF(XLOOKUP(C655,customers!$A$1:$A$1001,customers!$C$1:$C$1001,0)=0,"",XLOOKUP(C655,customers!$A$1:$A$1001,customers!$C$1:$C$1001,0))</f>
        <v>aburgetti5@moonfruit.com</v>
      </c>
      <c r="H654" s="1" t="str">
        <f t="array" ref="H654">XLOOKUP(C654,customers!$A$1:$A$1001,customers!$F$1:$F$1001,0)</f>
        <v>Ballinteer</v>
      </c>
    </row>
    <row r="655" ht="15.75" customHeight="1">
      <c r="A655" s="1" t="s">
        <v>1283</v>
      </c>
      <c r="B655" s="2">
        <v>44375.0</v>
      </c>
      <c r="C655" s="1" t="s">
        <v>1284</v>
      </c>
      <c r="D655" s="3" t="s">
        <v>184</v>
      </c>
      <c r="E655" s="1">
        <v>4.0</v>
      </c>
      <c r="F655" s="1" t="str">
        <f t="array" ref="F655">XLOOKUP(C655,customers!A654:A1654, customers!B654:B1654,0)</f>
        <v>Almeria Burgett</v>
      </c>
      <c r="G655" s="1" t="str">
        <f t="array" ref="G655">IF(XLOOKUP(C656,customers!$A$1:$A$1001,customers!$C$1:$C$1001,0)=0,"",XLOOKUP(C656,customers!$A$1:$A$1001,customers!$C$1:$C$1001,0))</f>
        <v>mmalloyi6@seattletimes.com</v>
      </c>
      <c r="H655" s="1" t="str">
        <f t="array" ref="H655">XLOOKUP(C655,customers!$A$1:$A$1001,customers!$F$1:$F$1001,0)</f>
        <v>Toledo</v>
      </c>
    </row>
    <row r="656" ht="15.75" customHeight="1">
      <c r="A656" s="1" t="s">
        <v>1285</v>
      </c>
      <c r="B656" s="2">
        <v>43476.0</v>
      </c>
      <c r="C656" s="1" t="s">
        <v>1286</v>
      </c>
      <c r="D656" s="3" t="s">
        <v>131</v>
      </c>
      <c r="E656" s="1">
        <v>3.0</v>
      </c>
      <c r="F656" s="1" t="str">
        <f t="array" ref="F656">XLOOKUP(C656,customers!A655:A1655, customers!B655:B1655,0)</f>
        <v>Marvin Malloy</v>
      </c>
      <c r="G656" s="1" t="str">
        <f t="array" ref="G656">IF(XLOOKUP(C657,customers!$A$1:$A$1001,customers!$C$1:$C$1001,0)=0,"",XLOOKUP(C657,customers!$A$1:$A$1001,customers!$C$1:$C$1001,0))</f>
        <v>mmcparlandi7@w3.org</v>
      </c>
      <c r="H656" s="1" t="str">
        <f t="array" ref="H656">XLOOKUP(C656,customers!$A$1:$A$1001,customers!$F$1:$F$1001,0)</f>
        <v>Washington</v>
      </c>
    </row>
    <row r="657" ht="15.75" customHeight="1">
      <c r="A657" s="1" t="s">
        <v>1287</v>
      </c>
      <c r="B657" s="2">
        <v>43728.0</v>
      </c>
      <c r="C657" s="1" t="s">
        <v>1288</v>
      </c>
      <c r="D657" s="3" t="s">
        <v>54</v>
      </c>
      <c r="E657" s="1">
        <v>2.0</v>
      </c>
      <c r="F657" s="1" t="str">
        <f t="array" ref="F657">XLOOKUP(C657,customers!A656:A1656, customers!B656:B1656,0)</f>
        <v>Maxim McParland</v>
      </c>
      <c r="G657" s="1" t="str">
        <f t="array" ref="G657">IF(XLOOKUP(C658,customers!$A$1:$A$1001,customers!$C$1:$C$1001,0)=0,"",XLOOKUP(C658,customers!$A$1:$A$1001,customers!$C$1:$C$1001,0))</f>
        <v>sjennaroyi8@purevolume.com</v>
      </c>
      <c r="H657" s="1" t="str">
        <f t="array" ref="H657">XLOOKUP(C657,customers!$A$1:$A$1001,customers!$F$1:$F$1001,0)</f>
        <v>Cedar Rapids</v>
      </c>
    </row>
    <row r="658" ht="15.75" customHeight="1">
      <c r="A658" s="1" t="s">
        <v>1289</v>
      </c>
      <c r="B658" s="2">
        <v>44485.0</v>
      </c>
      <c r="C658" s="1" t="s">
        <v>1290</v>
      </c>
      <c r="D658" s="3" t="s">
        <v>26</v>
      </c>
      <c r="E658" s="1">
        <v>4.0</v>
      </c>
      <c r="F658" s="1" t="str">
        <f t="array" ref="F658">XLOOKUP(C658,customers!A657:A1657, customers!B657:B1657,0)</f>
        <v>Sylas Jennaroy</v>
      </c>
      <c r="G658" s="1" t="str">
        <f t="array" ref="G658">IF(XLOOKUP(C659,customers!$A$1:$A$1001,customers!$C$1:$C$1001,0)=0,"",XLOOKUP(C659,customers!$A$1:$A$1001,customers!$C$1:$C$1001,0))</f>
        <v>wplacei9@wsj.com</v>
      </c>
      <c r="H658" s="1" t="str">
        <f t="array" ref="H658">XLOOKUP(C658,customers!$A$1:$A$1001,customers!$F$1:$F$1001,0)</f>
        <v>Aurora</v>
      </c>
    </row>
    <row r="659" ht="15.75" customHeight="1">
      <c r="A659" s="1" t="s">
        <v>1291</v>
      </c>
      <c r="B659" s="2">
        <v>43831.0</v>
      </c>
      <c r="C659" s="1" t="s">
        <v>1292</v>
      </c>
      <c r="D659" s="3" t="s">
        <v>80</v>
      </c>
      <c r="E659" s="1">
        <v>2.0</v>
      </c>
      <c r="F659" s="1" t="str">
        <f t="array" ref="F659">XLOOKUP(C659,customers!A658:A1658, customers!B658:B1658,0)</f>
        <v>Wren Place</v>
      </c>
      <c r="G659" s="1" t="str">
        <f t="array" ref="G659">IF(XLOOKUP(C660,customers!$A$1:$A$1001,customers!$C$1:$C$1001,0)=0,"",XLOOKUP(C660,customers!$A$1:$A$1001,customers!$C$1:$C$1001,0))</f>
        <v>jmillettik@addtoany.com</v>
      </c>
      <c r="H659" s="1" t="str">
        <f t="array" ref="H659">XLOOKUP(C659,customers!$A$1:$A$1001,customers!$F$1:$F$1001,0)</f>
        <v>Sunnyvale</v>
      </c>
    </row>
    <row r="660" ht="15.75" customHeight="1">
      <c r="A660" s="1" t="s">
        <v>1293</v>
      </c>
      <c r="B660" s="2">
        <v>44630.0</v>
      </c>
      <c r="C660" s="1" t="s">
        <v>1294</v>
      </c>
      <c r="D660" s="3" t="s">
        <v>16</v>
      </c>
      <c r="E660" s="1">
        <v>3.0</v>
      </c>
      <c r="F660" s="1" t="str">
        <f t="array" ref="F660">XLOOKUP(C660,customers!A659:A1659, customers!B659:B1659,0)</f>
        <v>Janella Millett</v>
      </c>
      <c r="G660" s="1" t="str">
        <f t="array" ref="G660">IF(XLOOKUP(C661,customers!$A$1:$A$1001,customers!$C$1:$C$1001,0)=0,"",XLOOKUP(C661,customers!$A$1:$A$1001,customers!$C$1:$C$1001,0))</f>
        <v>dgadsdenib@google.com.hk</v>
      </c>
      <c r="H660" s="1" t="str">
        <f t="array" ref="H660">XLOOKUP(C660,customers!$A$1:$A$1001,customers!$F$1:$F$1001,0)</f>
        <v>Durham</v>
      </c>
    </row>
    <row r="661" ht="15.75" customHeight="1">
      <c r="A661" s="1" t="s">
        <v>1295</v>
      </c>
      <c r="B661" s="2">
        <v>44693.0</v>
      </c>
      <c r="C661" s="1" t="s">
        <v>1296</v>
      </c>
      <c r="D661" s="3" t="s">
        <v>131</v>
      </c>
      <c r="E661" s="1">
        <v>2.0</v>
      </c>
      <c r="F661" s="1" t="str">
        <f t="array" ref="F661">XLOOKUP(C661,customers!A660:A1660, customers!B660:B1660,0)</f>
        <v>Dollie Gadsden</v>
      </c>
      <c r="G661" s="1" t="str">
        <f t="array" ref="G661">IF(XLOOKUP(C662,customers!$A$1:$A$1001,customers!$C$1:$C$1001,0)=0,"",XLOOKUP(C662,customers!$A$1:$A$1001,customers!$C$1:$C$1001,0))</f>
        <v>vwakelinic@unesco.org</v>
      </c>
      <c r="H661" s="1" t="str">
        <f t="array" ref="H661">XLOOKUP(C661,customers!$A$1:$A$1001,customers!$F$1:$F$1001,0)</f>
        <v>Cluain Meala</v>
      </c>
    </row>
    <row r="662" ht="15.75" customHeight="1">
      <c r="A662" s="1" t="s">
        <v>1297</v>
      </c>
      <c r="B662" s="2">
        <v>44084.0</v>
      </c>
      <c r="C662" s="1" t="s">
        <v>1298</v>
      </c>
      <c r="D662" s="3" t="s">
        <v>189</v>
      </c>
      <c r="E662" s="1">
        <v>6.0</v>
      </c>
      <c r="F662" s="1" t="str">
        <f t="array" ref="F662">XLOOKUP(C662,customers!A661:A1661, customers!B661:B1661,0)</f>
        <v>Val Wakelin</v>
      </c>
      <c r="G662" s="1" t="str">
        <f t="array" ref="G662">IF(XLOOKUP(C663,customers!$A$1:$A$1001,customers!$C$1:$C$1001,0)=0,"",XLOOKUP(C663,customers!$A$1:$A$1001,customers!$C$1:$C$1001,0))</f>
        <v>acampsallid@zimbio.com</v>
      </c>
      <c r="H662" s="1" t="str">
        <f t="array" ref="H662">XLOOKUP(C662,customers!$A$1:$A$1001,customers!$F$1:$F$1001,0)</f>
        <v>Lansing</v>
      </c>
    </row>
    <row r="663" ht="15.75" customHeight="1">
      <c r="A663" s="1" t="s">
        <v>1299</v>
      </c>
      <c r="B663" s="2">
        <v>44485.0</v>
      </c>
      <c r="C663" s="1" t="s">
        <v>1300</v>
      </c>
      <c r="D663" s="3" t="s">
        <v>57</v>
      </c>
      <c r="E663" s="1">
        <v>6.0</v>
      </c>
      <c r="F663" s="1" t="str">
        <f t="array" ref="F663">XLOOKUP(C663,customers!A662:A1662, customers!B662:B1662,0)</f>
        <v>Annie Campsall</v>
      </c>
      <c r="G663" s="1" t="str">
        <f t="array" ref="G663">IF(XLOOKUP(C664,customers!$A$1:$A$1001,customers!$C$1:$C$1001,0)=0,"",XLOOKUP(C664,customers!$A$1:$A$1001,customers!$C$1:$C$1001,0))</f>
        <v>smosebyie@stanford.edu</v>
      </c>
      <c r="H663" s="1" t="str">
        <f t="array" ref="H663">XLOOKUP(C663,customers!$A$1:$A$1001,customers!$F$1:$F$1001,0)</f>
        <v>Houston</v>
      </c>
    </row>
    <row r="664" ht="15.75" customHeight="1">
      <c r="A664" s="1" t="s">
        <v>1301</v>
      </c>
      <c r="B664" s="2">
        <v>44364.0</v>
      </c>
      <c r="C664" s="1" t="s">
        <v>1302</v>
      </c>
      <c r="D664" s="3" t="s">
        <v>122</v>
      </c>
      <c r="E664" s="1">
        <v>5.0</v>
      </c>
      <c r="F664" s="1" t="str">
        <f t="array" ref="F664">XLOOKUP(C664,customers!A663:A1663, customers!B663:B1663,0)</f>
        <v>Shermy Moseby</v>
      </c>
      <c r="G664" s="1" t="str">
        <f t="array" ref="G664">IF(XLOOKUP(C665,customers!$A$1:$A$1001,customers!$C$1:$C$1001,0)=0,"",XLOOKUP(C665,customers!$A$1:$A$1001,customers!$C$1:$C$1001,0))</f>
        <v>cwassif@prweb.com</v>
      </c>
      <c r="H664" s="1" t="str">
        <f t="array" ref="H664">XLOOKUP(C664,customers!$A$1:$A$1001,customers!$F$1:$F$1001,0)</f>
        <v>Murfreesboro</v>
      </c>
    </row>
    <row r="665" ht="15.75" customHeight="1">
      <c r="A665" s="1" t="s">
        <v>1303</v>
      </c>
      <c r="B665" s="2">
        <v>43554.0</v>
      </c>
      <c r="C665" s="1" t="s">
        <v>1304</v>
      </c>
      <c r="D665" s="3" t="s">
        <v>74</v>
      </c>
      <c r="E665" s="1">
        <v>6.0</v>
      </c>
      <c r="F665" s="1" t="str">
        <f t="array" ref="F665">XLOOKUP(C665,customers!A664:A1664, customers!B664:B1664,0)</f>
        <v>Corrie Wass</v>
      </c>
      <c r="G665" s="1" t="str">
        <f t="array" ref="G665">IF(XLOOKUP(C666,customers!$A$1:$A$1001,customers!$C$1:$C$1001,0)=0,"",XLOOKUP(C666,customers!$A$1:$A$1001,customers!$C$1:$C$1001,0))</f>
        <v>isjostromig@pbs.org</v>
      </c>
      <c r="H665" s="1" t="str">
        <f t="array" ref="H665">XLOOKUP(C665,customers!$A$1:$A$1001,customers!$F$1:$F$1001,0)</f>
        <v>Charleston</v>
      </c>
    </row>
    <row r="666" ht="15.75" customHeight="1">
      <c r="A666" s="1" t="s">
        <v>1305</v>
      </c>
      <c r="B666" s="2">
        <v>44549.0</v>
      </c>
      <c r="C666" s="1" t="s">
        <v>1306</v>
      </c>
      <c r="D666" s="3" t="s">
        <v>258</v>
      </c>
      <c r="E666" s="1">
        <v>6.0</v>
      </c>
      <c r="F666" s="1" t="str">
        <f t="array" ref="F666">XLOOKUP(C666,customers!A665:A1665, customers!B665:B1665,0)</f>
        <v>Ira Sjostrom</v>
      </c>
      <c r="G666" s="1" t="str">
        <f t="array" ref="G666">IF(XLOOKUP(C667,customers!$A$1:$A$1001,customers!$C$1:$C$1001,0)=0,"",XLOOKUP(C667,customers!$A$1:$A$1001,customers!$C$1:$C$1001,0))</f>
        <v>isjostromig@pbs.org</v>
      </c>
      <c r="H666" s="1" t="str">
        <f t="array" ref="H666">XLOOKUP(C666,customers!$A$1:$A$1001,customers!$F$1:$F$1001,0)</f>
        <v>Erie</v>
      </c>
    </row>
    <row r="667" ht="15.75" customHeight="1">
      <c r="A667" s="1" t="s">
        <v>1305</v>
      </c>
      <c r="B667" s="2">
        <v>44549.0</v>
      </c>
      <c r="C667" s="1" t="s">
        <v>1306</v>
      </c>
      <c r="D667" s="3" t="s">
        <v>51</v>
      </c>
      <c r="E667" s="1">
        <v>2.0</v>
      </c>
      <c r="F667" s="1" t="str">
        <f t="array" ref="F667">XLOOKUP(C667,customers!A666:A1666, customers!B666:B1666,0)</f>
        <v>Ira Sjostrom</v>
      </c>
      <c r="G667" s="1" t="str">
        <f t="array" ref="G667">IF(XLOOKUP(C668,customers!$A$1:$A$1001,customers!$C$1:$C$1001,0)=0,"",XLOOKUP(C668,customers!$A$1:$A$1001,customers!$C$1:$C$1001,0))</f>
        <v>jbranchettii@bravesites.com</v>
      </c>
      <c r="H667" s="1" t="str">
        <f t="array" ref="H667">XLOOKUP(C667,customers!$A$1:$A$1001,customers!$F$1:$F$1001,0)</f>
        <v>Erie</v>
      </c>
    </row>
    <row r="668" ht="15.75" customHeight="1">
      <c r="A668" s="1" t="s">
        <v>1307</v>
      </c>
      <c r="B668" s="2">
        <v>43987.0</v>
      </c>
      <c r="C668" s="1" t="s">
        <v>1308</v>
      </c>
      <c r="D668" s="3" t="s">
        <v>131</v>
      </c>
      <c r="E668" s="1">
        <v>4.0</v>
      </c>
      <c r="F668" s="1" t="str">
        <f t="array" ref="F668">XLOOKUP(C668,customers!A667:A1667, customers!B667:B1667,0)</f>
        <v>Jermaine Branchett</v>
      </c>
      <c r="G668" s="1" t="str">
        <f t="array" ref="G668">IF(XLOOKUP(C669,customers!$A$1:$A$1001,customers!$C$1:$C$1001,0)=0,"",XLOOKUP(C669,customers!$A$1:$A$1001,customers!$C$1:$C$1001,0))</f>
        <v>nrudlandij@blogs.com</v>
      </c>
      <c r="H668" s="1" t="str">
        <f t="array" ref="H668">XLOOKUP(C668,customers!$A$1:$A$1001,customers!$F$1:$F$1001,0)</f>
        <v>Lubbock</v>
      </c>
    </row>
    <row r="669" ht="15.75" customHeight="1">
      <c r="A669" s="1" t="s">
        <v>1309</v>
      </c>
      <c r="B669" s="2">
        <v>44451.0</v>
      </c>
      <c r="C669" s="1" t="s">
        <v>1310</v>
      </c>
      <c r="D669" s="3" t="s">
        <v>40</v>
      </c>
      <c r="E669" s="1">
        <v>6.0</v>
      </c>
      <c r="F669" s="1" t="str">
        <f t="array" ref="F669">XLOOKUP(C669,customers!A668:A1668, customers!B668:B1668,0)</f>
        <v>Nissie Rudland</v>
      </c>
      <c r="G669" s="1" t="str">
        <f t="array" ref="G669">IF(XLOOKUP(C670,customers!$A$1:$A$1001,customers!$C$1:$C$1001,0)=0,"",XLOOKUP(C670,customers!$A$1:$A$1001,customers!$C$1:$C$1001,0))</f>
        <v>jmillettik@addtoany.com</v>
      </c>
      <c r="H669" s="1" t="str">
        <f t="array" ref="H669">XLOOKUP(C669,customers!$A$1:$A$1001,customers!$F$1:$F$1001,0)</f>
        <v>Gorey</v>
      </c>
    </row>
    <row r="670" ht="15.75" customHeight="1">
      <c r="A670" s="1" t="s">
        <v>1311</v>
      </c>
      <c r="B670" s="2">
        <v>44636.0</v>
      </c>
      <c r="C670" s="1" t="s">
        <v>1294</v>
      </c>
      <c r="D670" s="3" t="s">
        <v>23</v>
      </c>
      <c r="E670" s="1">
        <v>5.0</v>
      </c>
      <c r="F670" s="1" t="str">
        <f t="array" ref="F670">XLOOKUP(C670,customers!A669:A1669, customers!B669:B1669,0)</f>
        <v>Janella Millett</v>
      </c>
      <c r="G670" s="1" t="str">
        <f t="array" ref="G670">IF(XLOOKUP(C671,customers!$A$1:$A$1001,customers!$C$1:$C$1001,0)=0,"",XLOOKUP(C671,customers!$A$1:$A$1001,customers!$C$1:$C$1001,0))</f>
        <v>ftourryil@google.de</v>
      </c>
      <c r="H670" s="1" t="str">
        <f t="array" ref="H670">XLOOKUP(C670,customers!$A$1:$A$1001,customers!$F$1:$F$1001,0)</f>
        <v>Durham</v>
      </c>
    </row>
    <row r="671" ht="15.75" customHeight="1">
      <c r="A671" s="1" t="s">
        <v>1312</v>
      </c>
      <c r="B671" s="2">
        <v>44551.0</v>
      </c>
      <c r="C671" s="1" t="s">
        <v>1313</v>
      </c>
      <c r="D671" s="3" t="s">
        <v>210</v>
      </c>
      <c r="E671" s="1">
        <v>2.0</v>
      </c>
      <c r="F671" s="1" t="str">
        <f t="array" ref="F671">XLOOKUP(C671,customers!A670:A1670, customers!B670:B1670,0)</f>
        <v>Ferdie Tourry</v>
      </c>
      <c r="G671" s="1" t="str">
        <f t="array" ref="G671">IF(XLOOKUP(C672,customers!$A$1:$A$1001,customers!$C$1:$C$1001,0)=0,"",XLOOKUP(C672,customers!$A$1:$A$1001,customers!$C$1:$C$1001,0))</f>
        <v>cweatherallim@toplist.cz</v>
      </c>
      <c r="H671" s="1" t="str">
        <f t="array" ref="H671">XLOOKUP(C671,customers!$A$1:$A$1001,customers!$F$1:$F$1001,0)</f>
        <v>Florence</v>
      </c>
    </row>
    <row r="672" ht="15.75" customHeight="1">
      <c r="A672" s="1" t="s">
        <v>1314</v>
      </c>
      <c r="B672" s="2">
        <v>43606.0</v>
      </c>
      <c r="C672" s="1" t="s">
        <v>1315</v>
      </c>
      <c r="D672" s="3" t="s">
        <v>90</v>
      </c>
      <c r="E672" s="1">
        <v>3.0</v>
      </c>
      <c r="F672" s="1" t="str">
        <f t="array" ref="F672">XLOOKUP(C672,customers!A671:A1671, customers!B671:B1671,0)</f>
        <v>Cecil Weatherall</v>
      </c>
      <c r="G672" s="1" t="str">
        <f t="array" ref="G672">IF(XLOOKUP(C673,customers!$A$1:$A$1001,customers!$C$1:$C$1001,0)=0,"",XLOOKUP(C673,customers!$A$1:$A$1001,customers!$C$1:$C$1001,0))</f>
        <v>gheindrickin@usda.gov</v>
      </c>
      <c r="H672" s="1" t="str">
        <f t="array" ref="H672">XLOOKUP(C672,customers!$A$1:$A$1001,customers!$F$1:$F$1001,0)</f>
        <v>Syracuse</v>
      </c>
    </row>
    <row r="673" ht="15.75" customHeight="1">
      <c r="A673" s="1" t="s">
        <v>1316</v>
      </c>
      <c r="B673" s="2">
        <v>44495.0</v>
      </c>
      <c r="C673" s="1" t="s">
        <v>1317</v>
      </c>
      <c r="D673" s="3" t="s">
        <v>202</v>
      </c>
      <c r="E673" s="1">
        <v>5.0</v>
      </c>
      <c r="F673" s="1" t="str">
        <f t="array" ref="F673">XLOOKUP(C673,customers!A672:A1672, customers!B672:B1672,0)</f>
        <v>Gale Heindrick</v>
      </c>
      <c r="G673" s="1" t="str">
        <f t="array" ref="G673">IF(XLOOKUP(C674,customers!$A$1:$A$1001,customers!$C$1:$C$1001,0)=0,"",XLOOKUP(C674,customers!$A$1:$A$1001,customers!$C$1:$C$1001,0))</f>
        <v>limasonio@discuz.net</v>
      </c>
      <c r="H673" s="1" t="str">
        <f t="array" ref="H673">XLOOKUP(C673,customers!$A$1:$A$1001,customers!$F$1:$F$1001,0)</f>
        <v>Lawrenceville</v>
      </c>
    </row>
    <row r="674" ht="15.75" customHeight="1">
      <c r="A674" s="1" t="s">
        <v>1318</v>
      </c>
      <c r="B674" s="2">
        <v>43916.0</v>
      </c>
      <c r="C674" s="1" t="s">
        <v>1319</v>
      </c>
      <c r="D674" s="3" t="s">
        <v>91</v>
      </c>
      <c r="E674" s="1">
        <v>5.0</v>
      </c>
      <c r="F674" s="1" t="str">
        <f t="array" ref="F674">XLOOKUP(C674,customers!A673:A1673, customers!B673:B1673,0)</f>
        <v>Layne Imason</v>
      </c>
      <c r="G674" s="1" t="str">
        <f t="array" ref="G674">IF(XLOOKUP(C675,customers!$A$1:$A$1001,customers!$C$1:$C$1001,0)=0,"",XLOOKUP(C675,customers!$A$1:$A$1001,customers!$C$1:$C$1001,0))</f>
        <v>hsaillip@odnoklassniki.ru</v>
      </c>
      <c r="H674" s="1" t="str">
        <f t="array" ref="H674">XLOOKUP(C674,customers!$A$1:$A$1001,customers!$F$1:$F$1001,0)</f>
        <v>Houston</v>
      </c>
    </row>
    <row r="675" ht="15.75" customHeight="1">
      <c r="A675" s="1" t="s">
        <v>1320</v>
      </c>
      <c r="B675" s="2">
        <v>44118.0</v>
      </c>
      <c r="C675" s="1" t="s">
        <v>1321</v>
      </c>
      <c r="D675" s="3" t="s">
        <v>22</v>
      </c>
      <c r="E675" s="1">
        <v>6.0</v>
      </c>
      <c r="F675" s="1" t="str">
        <f t="array" ref="F675">XLOOKUP(C675,customers!A674:A1674, customers!B674:B1674,0)</f>
        <v>Hazel Saill</v>
      </c>
      <c r="G675" s="1" t="str">
        <f t="array" ref="G675">IF(XLOOKUP(C676,customers!$A$1:$A$1001,customers!$C$1:$C$1001,0)=0,"",XLOOKUP(C676,customers!$A$1:$A$1001,customers!$C$1:$C$1001,0))</f>
        <v>hlarvoriq@last.fm</v>
      </c>
      <c r="H675" s="1" t="str">
        <f t="array" ref="H675">XLOOKUP(C675,customers!$A$1:$A$1001,customers!$F$1:$F$1001,0)</f>
        <v>Kansas City</v>
      </c>
    </row>
    <row r="676" ht="15.75" customHeight="1">
      <c r="A676" s="1" t="s">
        <v>1322</v>
      </c>
      <c r="B676" s="2">
        <v>44543.0</v>
      </c>
      <c r="C676" s="1" t="s">
        <v>1323</v>
      </c>
      <c r="D676" s="3" t="s">
        <v>217</v>
      </c>
      <c r="E676" s="1">
        <v>6.0</v>
      </c>
      <c r="F676" s="1" t="str">
        <f t="array" ref="F676">XLOOKUP(C676,customers!A675:A1675, customers!B675:B1675,0)</f>
        <v>Hermann Larvor</v>
      </c>
      <c r="G676" s="1" t="str">
        <f t="array" ref="G676">IF(XLOOKUP(C677,customers!$A$1:$A$1001,customers!$C$1:$C$1001,0)=0,"",XLOOKUP(C677,customers!$A$1:$A$1001,customers!$C$1:$C$1001,0))</f>
        <v/>
      </c>
      <c r="H676" s="1" t="str">
        <f t="array" ref="H676">XLOOKUP(C676,customers!$A$1:$A$1001,customers!$F$1:$F$1001,0)</f>
        <v>Bradenton</v>
      </c>
    </row>
    <row r="677" ht="15.75" customHeight="1">
      <c r="A677" s="1" t="s">
        <v>1324</v>
      </c>
      <c r="B677" s="2">
        <v>44263.0</v>
      </c>
      <c r="C677" s="1" t="s">
        <v>1325</v>
      </c>
      <c r="D677" s="3" t="s">
        <v>122</v>
      </c>
      <c r="E677" s="1">
        <v>4.0</v>
      </c>
      <c r="F677" s="1" t="str">
        <f t="array" ref="F677">XLOOKUP(C677,customers!A676:A1676, customers!B676:B1676,0)</f>
        <v>Terri Lyford</v>
      </c>
      <c r="G677" s="1" t="str">
        <f t="array" ref="G677">IF(XLOOKUP(C678,customers!$A$1:$A$1001,customers!$C$1:$C$1001,0)=0,"",XLOOKUP(C678,customers!$A$1:$A$1001,customers!$C$1:$C$1001,0))</f>
        <v/>
      </c>
      <c r="H677" s="1" t="str">
        <f t="array" ref="H677">XLOOKUP(C677,customers!$A$1:$A$1001,customers!$F$1:$F$1001,0)</f>
        <v>Allentown</v>
      </c>
    </row>
    <row r="678" ht="15.75" customHeight="1">
      <c r="A678" s="1" t="s">
        <v>1326</v>
      </c>
      <c r="B678" s="2">
        <v>44217.0</v>
      </c>
      <c r="C678" s="1" t="s">
        <v>1327</v>
      </c>
      <c r="D678" s="3" t="s">
        <v>96</v>
      </c>
      <c r="E678" s="1">
        <v>5.0</v>
      </c>
      <c r="F678" s="1" t="str">
        <f t="array" ref="F678">XLOOKUP(C678,customers!A677:A1677, customers!B677:B1677,0)</f>
        <v>Gabey Cogan</v>
      </c>
      <c r="G678" s="1" t="str">
        <f t="array" ref="G678">IF(XLOOKUP(C679,customers!$A$1:$A$1001,customers!$C$1:$C$1001,0)=0,"",XLOOKUP(C679,customers!$A$1:$A$1001,customers!$C$1:$C$1001,0))</f>
        <v>cpenwardenit@mlb.com</v>
      </c>
      <c r="H678" s="1" t="str">
        <f t="array" ref="H678">XLOOKUP(C678,customers!$A$1:$A$1001,customers!$F$1:$F$1001,0)</f>
        <v>Hampton</v>
      </c>
    </row>
    <row r="679" ht="15.75" customHeight="1">
      <c r="A679" s="1" t="s">
        <v>1328</v>
      </c>
      <c r="B679" s="2">
        <v>44206.0</v>
      </c>
      <c r="C679" s="1" t="s">
        <v>1329</v>
      </c>
      <c r="D679" s="3" t="s">
        <v>91</v>
      </c>
      <c r="E679" s="1">
        <v>5.0</v>
      </c>
      <c r="F679" s="1" t="str">
        <f t="array" ref="F679">XLOOKUP(C679,customers!A678:A1678, customers!B678:B1678,0)</f>
        <v>Charin Penwarden</v>
      </c>
      <c r="G679" s="1" t="str">
        <f t="array" ref="G679">IF(XLOOKUP(C680,customers!$A$1:$A$1001,customers!$C$1:$C$1001,0)=0,"",XLOOKUP(C680,customers!$A$1:$A$1001,customers!$C$1:$C$1001,0))</f>
        <v>mmiddisiu@dmoz.org</v>
      </c>
      <c r="H679" s="1" t="str">
        <f t="array" ref="H679">XLOOKUP(C679,customers!$A$1:$A$1001,customers!$F$1:$F$1001,0)</f>
        <v>Whitegate</v>
      </c>
    </row>
    <row r="680" ht="15.75" customHeight="1">
      <c r="A680" s="1" t="s">
        <v>1330</v>
      </c>
      <c r="B680" s="2">
        <v>44281.0</v>
      </c>
      <c r="C680" s="1" t="s">
        <v>1331</v>
      </c>
      <c r="D680" s="3" t="s">
        <v>217</v>
      </c>
      <c r="E680" s="1">
        <v>6.0</v>
      </c>
      <c r="F680" s="1" t="str">
        <f t="array" ref="F680">XLOOKUP(C680,customers!A679:A1679, customers!B679:B1679,0)</f>
        <v>Milty Middis</v>
      </c>
      <c r="G680" s="1" t="str">
        <f t="array" ref="G680">IF(XLOOKUP(C681,customers!$A$1:$A$1001,customers!$C$1:$C$1001,0)=0,"",XLOOKUP(C681,customers!$A$1:$A$1001,customers!$C$1:$C$1001,0))</f>
        <v>avairowiv@studiopress.com</v>
      </c>
      <c r="H680" s="1" t="str">
        <f t="array" ref="H680">XLOOKUP(C680,customers!$A$1:$A$1001,customers!$F$1:$F$1001,0)</f>
        <v>Wichita</v>
      </c>
    </row>
    <row r="681" ht="15.75" customHeight="1">
      <c r="A681" s="1" t="s">
        <v>1332</v>
      </c>
      <c r="B681" s="2">
        <v>44645.0</v>
      </c>
      <c r="C681" s="1" t="s">
        <v>1333</v>
      </c>
      <c r="D681" s="3" t="s">
        <v>23</v>
      </c>
      <c r="E681" s="1">
        <v>1.0</v>
      </c>
      <c r="F681" s="1" t="str">
        <f t="array" ref="F681">XLOOKUP(C681,customers!A680:A1680, customers!B680:B1680,0)</f>
        <v>Adrianne Vairow</v>
      </c>
      <c r="G681" s="1" t="str">
        <f t="array" ref="G681">IF(XLOOKUP(C682,customers!$A$1:$A$1001,customers!$C$1:$C$1001,0)=0,"",XLOOKUP(C682,customers!$A$1:$A$1001,customers!$C$1:$C$1001,0))</f>
        <v>agoldieiw@goo.gl</v>
      </c>
      <c r="H681" s="1" t="str">
        <f t="array" ref="H681">XLOOKUP(C681,customers!$A$1:$A$1001,customers!$F$1:$F$1001,0)</f>
        <v>Thorpe</v>
      </c>
    </row>
    <row r="682" ht="15.75" customHeight="1">
      <c r="A682" s="1" t="s">
        <v>1334</v>
      </c>
      <c r="B682" s="2">
        <v>44399.0</v>
      </c>
      <c r="C682" s="1" t="s">
        <v>1335</v>
      </c>
      <c r="D682" s="3" t="s">
        <v>74</v>
      </c>
      <c r="E682" s="1">
        <v>5.0</v>
      </c>
      <c r="F682" s="1" t="str">
        <f t="array" ref="F682">XLOOKUP(C682,customers!A681:A1681, customers!B681:B1681,0)</f>
        <v>Anjanette Goldie</v>
      </c>
      <c r="G682" s="1" t="str">
        <f t="array" ref="G682">IF(XLOOKUP(C683,customers!$A$1:$A$1001,customers!$C$1:$C$1001,0)=0,"",XLOOKUP(C683,customers!$A$1:$A$1001,customers!$C$1:$C$1001,0))</f>
        <v>nayrisix@t-online.de</v>
      </c>
      <c r="H682" s="1" t="str">
        <f t="array" ref="H682">XLOOKUP(C682,customers!$A$1:$A$1001,customers!$F$1:$F$1001,0)</f>
        <v>Danbury</v>
      </c>
    </row>
    <row r="683" ht="15.75" customHeight="1">
      <c r="A683" s="1" t="s">
        <v>1336</v>
      </c>
      <c r="B683" s="2">
        <v>44080.0</v>
      </c>
      <c r="C683" s="1" t="s">
        <v>1337</v>
      </c>
      <c r="D683" s="3" t="s">
        <v>32</v>
      </c>
      <c r="E683" s="1">
        <v>2.0</v>
      </c>
      <c r="F683" s="1" t="str">
        <f t="array" ref="F683">XLOOKUP(C683,customers!A682:A1682, customers!B682:B1682,0)</f>
        <v>Nicky Ayris</v>
      </c>
      <c r="G683" s="1" t="str">
        <f t="array" ref="G683">IF(XLOOKUP(C684,customers!$A$1:$A$1001,customers!$C$1:$C$1001,0)=0,"",XLOOKUP(C684,customers!$A$1:$A$1001,customers!$C$1:$C$1001,0))</f>
        <v>lbenediktovichiy@wunderground.com</v>
      </c>
      <c r="H683" s="1" t="str">
        <f t="array" ref="H683">XLOOKUP(C683,customers!$A$1:$A$1001,customers!$F$1:$F$1001,0)</f>
        <v>Kinloch</v>
      </c>
    </row>
    <row r="684" ht="15.75" customHeight="1">
      <c r="A684" s="1" t="s">
        <v>1338</v>
      </c>
      <c r="B684" s="2">
        <v>43827.0</v>
      </c>
      <c r="C684" s="1" t="s">
        <v>1339</v>
      </c>
      <c r="D684" s="3" t="s">
        <v>77</v>
      </c>
      <c r="E684" s="1">
        <v>2.0</v>
      </c>
      <c r="F684" s="1" t="str">
        <f t="array" ref="F684">XLOOKUP(C684,customers!A683:A1683, customers!B683:B1683,0)</f>
        <v>Laryssa Benediktovich</v>
      </c>
      <c r="G684" s="1" t="str">
        <f t="array" ref="G684">IF(XLOOKUP(C685,customers!$A$1:$A$1001,customers!$C$1:$C$1001,0)=0,"",XLOOKUP(C685,customers!$A$1:$A$1001,customers!$C$1:$C$1001,0))</f>
        <v>tjacobovitziz@cbc.ca</v>
      </c>
      <c r="H684" s="1" t="str">
        <f t="array" ref="H684">XLOOKUP(C684,customers!$A$1:$A$1001,customers!$F$1:$F$1001,0)</f>
        <v>Jacksonville</v>
      </c>
    </row>
    <row r="685" ht="15.75" customHeight="1">
      <c r="A685" s="1" t="s">
        <v>1340</v>
      </c>
      <c r="B685" s="2">
        <v>43941.0</v>
      </c>
      <c r="C685" s="1" t="s">
        <v>1341</v>
      </c>
      <c r="D685" s="3" t="s">
        <v>136</v>
      </c>
      <c r="E685" s="1">
        <v>6.0</v>
      </c>
      <c r="F685" s="1" t="str">
        <f t="array" ref="F685">XLOOKUP(C685,customers!A684:A1684, customers!B684:B1684,0)</f>
        <v>Theo Jacobovitz</v>
      </c>
      <c r="G685" s="1" t="str">
        <f t="array" ref="G685">IF(XLOOKUP(C686,customers!$A$1:$A$1001,customers!$C$1:$C$1001,0)=0,"",XLOOKUP(C686,customers!$A$1:$A$1001,customers!$C$1:$C$1001,0))</f>
        <v/>
      </c>
      <c r="H685" s="1" t="str">
        <f t="array" ref="H685">XLOOKUP(C685,customers!$A$1:$A$1001,customers!$F$1:$F$1001,0)</f>
        <v>Houston</v>
      </c>
    </row>
    <row r="686" ht="15.75" customHeight="1">
      <c r="A686" s="1" t="s">
        <v>1342</v>
      </c>
      <c r="B686" s="2">
        <v>43517.0</v>
      </c>
      <c r="C686" s="1" t="s">
        <v>1343</v>
      </c>
      <c r="D686" s="3" t="s">
        <v>202</v>
      </c>
      <c r="E686" s="1">
        <v>6.0</v>
      </c>
      <c r="F686" s="1" t="str">
        <f t="array" ref="F686">XLOOKUP(C686,customers!A685:A1685, customers!B685:B1685,0)</f>
        <v>Becca Ableson</v>
      </c>
      <c r="G686" s="1" t="str">
        <f t="array" ref="G686">IF(XLOOKUP(C687,customers!$A$1:$A$1001,customers!$C$1:$C$1001,0)=0,"",XLOOKUP(C687,customers!$A$1:$A$1001,customers!$C$1:$C$1001,0))</f>
        <v>jdruittj1@feedburner.com</v>
      </c>
      <c r="H686" s="1" t="str">
        <f t="array" ref="H686">XLOOKUP(C686,customers!$A$1:$A$1001,customers!$F$1:$F$1001,0)</f>
        <v>Portland</v>
      </c>
    </row>
    <row r="687" ht="15.75" customHeight="1">
      <c r="A687" s="1" t="s">
        <v>1344</v>
      </c>
      <c r="B687" s="2">
        <v>44637.0</v>
      </c>
      <c r="C687" s="1" t="s">
        <v>1345</v>
      </c>
      <c r="D687" s="3" t="s">
        <v>117</v>
      </c>
      <c r="E687" s="1">
        <v>2.0</v>
      </c>
      <c r="F687" s="1" t="str">
        <f t="array" ref="F687">XLOOKUP(C687,customers!A686:A1686, customers!B686:B1686,0)</f>
        <v>Jeno Druitt</v>
      </c>
      <c r="G687" s="1" t="str">
        <f t="array" ref="G687">IF(XLOOKUP(C688,customers!$A$1:$A$1001,customers!$C$1:$C$1001,0)=0,"",XLOOKUP(C688,customers!$A$1:$A$1001,customers!$C$1:$C$1001,0))</f>
        <v>dshortallj2@wikipedia.org</v>
      </c>
      <c r="H687" s="1" t="str">
        <f t="array" ref="H687">XLOOKUP(C687,customers!$A$1:$A$1001,customers!$F$1:$F$1001,0)</f>
        <v>Pasadena</v>
      </c>
    </row>
    <row r="688" ht="15.75" customHeight="1">
      <c r="A688" s="1" t="s">
        <v>1346</v>
      </c>
      <c r="B688" s="2">
        <v>44330.0</v>
      </c>
      <c r="C688" s="1" t="s">
        <v>1347</v>
      </c>
      <c r="D688" s="3" t="s">
        <v>114</v>
      </c>
      <c r="E688" s="1">
        <v>3.0</v>
      </c>
      <c r="F688" s="1" t="str">
        <f t="array" ref="F688">XLOOKUP(C688,customers!A687:A1687, customers!B687:B1687,0)</f>
        <v>Deonne Shortall</v>
      </c>
      <c r="G688" s="1" t="str">
        <f t="array" ref="G688">IF(XLOOKUP(C689,customers!$A$1:$A$1001,customers!$C$1:$C$1001,0)=0,"",XLOOKUP(C689,customers!$A$1:$A$1001,customers!$C$1:$C$1001,0))</f>
        <v>wcottierj3@cafepress.com</v>
      </c>
      <c r="H688" s="1" t="str">
        <f t="array" ref="H688">XLOOKUP(C688,customers!$A$1:$A$1001,customers!$F$1:$F$1001,0)</f>
        <v>Santa Ana</v>
      </c>
    </row>
    <row r="689" ht="15.75" customHeight="1">
      <c r="A689" s="1" t="s">
        <v>1348</v>
      </c>
      <c r="B689" s="2">
        <v>43471.0</v>
      </c>
      <c r="C689" s="1" t="s">
        <v>1349</v>
      </c>
      <c r="D689" s="3" t="s">
        <v>16</v>
      </c>
      <c r="E689" s="1">
        <v>2.0</v>
      </c>
      <c r="F689" s="1" t="str">
        <f t="array" ref="F689">XLOOKUP(C689,customers!A688:A1688, customers!B688:B1688,0)</f>
        <v>Wilton Cottier</v>
      </c>
      <c r="G689" s="1" t="str">
        <f t="array" ref="G689">IF(XLOOKUP(C690,customers!$A$1:$A$1001,customers!$C$1:$C$1001,0)=0,"",XLOOKUP(C690,customers!$A$1:$A$1001,customers!$C$1:$C$1001,0))</f>
        <v>kgrinstedj4@google.com.br</v>
      </c>
      <c r="H689" s="1" t="str">
        <f t="array" ref="H689">XLOOKUP(C689,customers!$A$1:$A$1001,customers!$F$1:$F$1001,0)</f>
        <v>San Jose</v>
      </c>
    </row>
    <row r="690" ht="15.75" customHeight="1">
      <c r="A690" s="1" t="s">
        <v>1350</v>
      </c>
      <c r="B690" s="2">
        <v>43579.0</v>
      </c>
      <c r="C690" s="1" t="s">
        <v>1351</v>
      </c>
      <c r="D690" s="3" t="s">
        <v>19</v>
      </c>
      <c r="E690" s="1">
        <v>5.0</v>
      </c>
      <c r="F690" s="1" t="str">
        <f t="array" ref="F690">XLOOKUP(C690,customers!A689:A1689, customers!B689:B1689,0)</f>
        <v>Kevan Grinsted</v>
      </c>
      <c r="G690" s="1" t="str">
        <f t="array" ref="G690">IF(XLOOKUP(C691,customers!$A$1:$A$1001,customers!$C$1:$C$1001,0)=0,"",XLOOKUP(C691,customers!$A$1:$A$1001,customers!$C$1:$C$1001,0))</f>
        <v>dskynerj5@hubpages.com</v>
      </c>
      <c r="H690" s="1" t="str">
        <f t="array" ref="H690">XLOOKUP(C690,customers!$A$1:$A$1001,customers!$F$1:$F$1001,0)</f>
        <v>Tallaght</v>
      </c>
    </row>
    <row r="691" ht="15.75" customHeight="1">
      <c r="A691" s="1" t="s">
        <v>1352</v>
      </c>
      <c r="B691" s="2">
        <v>44346.0</v>
      </c>
      <c r="C691" s="1" t="s">
        <v>1353</v>
      </c>
      <c r="D691" s="3" t="s">
        <v>80</v>
      </c>
      <c r="E691" s="1">
        <v>5.0</v>
      </c>
      <c r="F691" s="1" t="str">
        <f t="array" ref="F691">XLOOKUP(C691,customers!A690:A1690, customers!B690:B1690,0)</f>
        <v>Dionne Skyner</v>
      </c>
      <c r="G691" s="1" t="str">
        <f t="array" ref="G691">IF(XLOOKUP(C692,customers!$A$1:$A$1001,customers!$C$1:$C$1001,0)=0,"",XLOOKUP(C692,customers!$A$1:$A$1001,customers!$C$1:$C$1001,0))</f>
        <v/>
      </c>
      <c r="H691" s="1" t="str">
        <f t="array" ref="H691">XLOOKUP(C691,customers!$A$1:$A$1001,customers!$F$1:$F$1001,0)</f>
        <v>Colorado Springs</v>
      </c>
    </row>
    <row r="692" ht="15.75" customHeight="1">
      <c r="A692" s="1" t="s">
        <v>1354</v>
      </c>
      <c r="B692" s="2">
        <v>44754.0</v>
      </c>
      <c r="C692" s="1" t="s">
        <v>1355</v>
      </c>
      <c r="D692" s="3" t="s">
        <v>122</v>
      </c>
      <c r="E692" s="1">
        <v>6.0</v>
      </c>
      <c r="F692" s="1" t="str">
        <f t="array" ref="F692">XLOOKUP(C692,customers!A691:A1691, customers!B691:B1691,0)</f>
        <v>Francesco Dressel</v>
      </c>
      <c r="G692" s="1" t="str">
        <f t="array" ref="G692">IF(XLOOKUP(C693,customers!$A$1:$A$1001,customers!$C$1:$C$1001,0)=0,"",XLOOKUP(C693,customers!$A$1:$A$1001,customers!$C$1:$C$1001,0))</f>
        <v>jdymokeje@prnewswire.com</v>
      </c>
      <c r="H692" s="1" t="str">
        <f t="array" ref="H692">XLOOKUP(C692,customers!$A$1:$A$1001,customers!$F$1:$F$1001,0)</f>
        <v>Toledo</v>
      </c>
    </row>
    <row r="693" ht="15.75" customHeight="1">
      <c r="A693" s="1" t="s">
        <v>1356</v>
      </c>
      <c r="B693" s="2">
        <v>44227.0</v>
      </c>
      <c r="C693" s="1" t="s">
        <v>1357</v>
      </c>
      <c r="D693" s="3" t="s">
        <v>74</v>
      </c>
      <c r="E693" s="1">
        <v>2.0</v>
      </c>
      <c r="F693" s="1" t="str">
        <f t="array" ref="F693">XLOOKUP(C693,customers!A692:A1692, customers!B692:B1692,0)</f>
        <v>Jimmy Dymoke</v>
      </c>
      <c r="G693" s="1" t="str">
        <f t="array" ref="G693">IF(XLOOKUP(C694,customers!$A$1:$A$1001,customers!$C$1:$C$1001,0)=0,"",XLOOKUP(C694,customers!$A$1:$A$1001,customers!$C$1:$C$1001,0))</f>
        <v>aweinmannj8@shinystat.com</v>
      </c>
      <c r="H693" s="1" t="str">
        <f t="array" ref="H693">XLOOKUP(C693,customers!$A$1:$A$1001,customers!$F$1:$F$1001,0)</f>
        <v>Beaumont</v>
      </c>
    </row>
    <row r="694" ht="15.75" customHeight="1">
      <c r="A694" s="1" t="s">
        <v>1358</v>
      </c>
      <c r="B694" s="2">
        <v>43720.0</v>
      </c>
      <c r="C694" s="1" t="s">
        <v>1359</v>
      </c>
      <c r="D694" s="3" t="s">
        <v>26</v>
      </c>
      <c r="E694" s="1">
        <v>1.0</v>
      </c>
      <c r="F694" s="1" t="str">
        <f t="array" ref="F694">XLOOKUP(C694,customers!A693:A1693, customers!B693:B1693,0)</f>
        <v>Ambrosio Weinmann</v>
      </c>
      <c r="G694" s="1" t="str">
        <f t="array" ref="G694">IF(XLOOKUP(C695,customers!$A$1:$A$1001,customers!$C$1:$C$1001,0)=0,"",XLOOKUP(C695,customers!$A$1:$A$1001,customers!$C$1:$C$1001,0))</f>
        <v>eandriessenj9@europa.eu</v>
      </c>
      <c r="H694" s="1" t="str">
        <f t="array" ref="H694">XLOOKUP(C694,customers!$A$1:$A$1001,customers!$F$1:$F$1001,0)</f>
        <v>Cincinnati</v>
      </c>
    </row>
    <row r="695" ht="15.75" customHeight="1">
      <c r="A695" s="1" t="s">
        <v>1360</v>
      </c>
      <c r="B695" s="2">
        <v>44012.0</v>
      </c>
      <c r="C695" s="1" t="s">
        <v>1361</v>
      </c>
      <c r="D695" s="3" t="s">
        <v>184</v>
      </c>
      <c r="E695" s="1">
        <v>2.0</v>
      </c>
      <c r="F695" s="1" t="str">
        <f t="array" ref="F695">XLOOKUP(C695,customers!A694:A1694, customers!B694:B1694,0)</f>
        <v>Elden Andriessen</v>
      </c>
      <c r="G695" s="1" t="str">
        <f t="array" ref="G695">IF(XLOOKUP(C696,customers!$A$1:$A$1001,customers!$C$1:$C$1001,0)=0,"",XLOOKUP(C696,customers!$A$1:$A$1001,customers!$C$1:$C$1001,0))</f>
        <v>rdeaconsonja@archive.org</v>
      </c>
      <c r="H695" s="1" t="str">
        <f t="array" ref="H695">XLOOKUP(C695,customers!$A$1:$A$1001,customers!$F$1:$F$1001,0)</f>
        <v>Saint Louis</v>
      </c>
    </row>
    <row r="696" ht="15.75" customHeight="1">
      <c r="A696" s="1" t="s">
        <v>1362</v>
      </c>
      <c r="B696" s="2">
        <v>43915.0</v>
      </c>
      <c r="C696" s="1" t="s">
        <v>1363</v>
      </c>
      <c r="D696" s="3" t="s">
        <v>29</v>
      </c>
      <c r="E696" s="1">
        <v>5.0</v>
      </c>
      <c r="F696" s="1" t="str">
        <f t="array" ref="F696">XLOOKUP(C696,customers!A695:A1695, customers!B695:B1695,0)</f>
        <v>Roxie Deaconson</v>
      </c>
      <c r="G696" s="1" t="str">
        <f t="array" ref="G696">IF(XLOOKUP(C697,customers!$A$1:$A$1001,customers!$C$1:$C$1001,0)=0,"",XLOOKUP(C697,customers!$A$1:$A$1001,customers!$C$1:$C$1001,0))</f>
        <v>dcarojb@twitter.com</v>
      </c>
      <c r="H696" s="1" t="str">
        <f t="array" ref="H696">XLOOKUP(C696,customers!$A$1:$A$1001,customers!$F$1:$F$1001,0)</f>
        <v>Yonkers</v>
      </c>
    </row>
    <row r="697" ht="15.75" customHeight="1">
      <c r="A697" s="1" t="s">
        <v>1364</v>
      </c>
      <c r="B697" s="2">
        <v>44300.0</v>
      </c>
      <c r="C697" s="1" t="s">
        <v>1365</v>
      </c>
      <c r="D697" s="3" t="s">
        <v>117</v>
      </c>
      <c r="E697" s="1">
        <v>5.0</v>
      </c>
      <c r="F697" s="1" t="str">
        <f t="array" ref="F697">XLOOKUP(C697,customers!A696:A1696, customers!B696:B1696,0)</f>
        <v>Davida Caro</v>
      </c>
      <c r="G697" s="1" t="str">
        <f t="array" ref="G697">IF(XLOOKUP(C698,customers!$A$1:$A$1001,customers!$C$1:$C$1001,0)=0,"",XLOOKUP(C698,customers!$A$1:$A$1001,customers!$C$1:$C$1001,0))</f>
        <v>jbluckjc@imageshack.us</v>
      </c>
      <c r="H697" s="1" t="str">
        <f t="array" ref="H697">XLOOKUP(C697,customers!$A$1:$A$1001,customers!$F$1:$F$1001,0)</f>
        <v>Baltimore</v>
      </c>
    </row>
    <row r="698" ht="15.75" customHeight="1">
      <c r="A698" s="1" t="s">
        <v>1366</v>
      </c>
      <c r="B698" s="2">
        <v>43693.0</v>
      </c>
      <c r="C698" s="1" t="s">
        <v>1367</v>
      </c>
      <c r="D698" s="3" t="s">
        <v>136</v>
      </c>
      <c r="E698" s="1">
        <v>4.0</v>
      </c>
      <c r="F698" s="1" t="str">
        <f t="array" ref="F698">XLOOKUP(C698,customers!A697:A1697, customers!B697:B1697,0)</f>
        <v>Johna Bluck</v>
      </c>
      <c r="G698" s="1" t="str">
        <f t="array" ref="G698">IF(XLOOKUP(C699,customers!$A$1:$A$1001,customers!$C$1:$C$1001,0)=0,"",XLOOKUP(C699,customers!$A$1:$A$1001,customers!$C$1:$C$1001,0))</f>
        <v/>
      </c>
      <c r="H698" s="1" t="str">
        <f t="array" ref="H698">XLOOKUP(C698,customers!$A$1:$A$1001,customers!$F$1:$F$1001,0)</f>
        <v>Jacksonville</v>
      </c>
    </row>
    <row r="699" ht="15.75" customHeight="1">
      <c r="A699" s="1" t="s">
        <v>1368</v>
      </c>
      <c r="B699" s="2">
        <v>44547.0</v>
      </c>
      <c r="C699" s="1" t="s">
        <v>1369</v>
      </c>
      <c r="D699" s="3" t="s">
        <v>80</v>
      </c>
      <c r="E699" s="1">
        <v>3.0</v>
      </c>
      <c r="F699" s="1" t="str">
        <f t="array" ref="F699">XLOOKUP(C699,customers!A698:A1698, customers!B698:B1698,0)</f>
        <v>Myrle Dearden</v>
      </c>
      <c r="G699" s="1" t="str">
        <f t="array" ref="G699">IF(XLOOKUP(C700,customers!$A$1:$A$1001,customers!$C$1:$C$1001,0)=0,"",XLOOKUP(C700,customers!$A$1:$A$1001,customers!$C$1:$C$1001,0))</f>
        <v>jdymokeje@prnewswire.com</v>
      </c>
      <c r="H699" s="1" t="str">
        <f t="array" ref="H699">XLOOKUP(C699,customers!$A$1:$A$1001,customers!$F$1:$F$1001,0)</f>
        <v>Bayside</v>
      </c>
    </row>
    <row r="700" ht="15.75" customHeight="1">
      <c r="A700" s="1" t="s">
        <v>1370</v>
      </c>
      <c r="B700" s="2">
        <v>43830.0</v>
      </c>
      <c r="C700" s="1" t="s">
        <v>1357</v>
      </c>
      <c r="D700" s="3" t="s">
        <v>26</v>
      </c>
      <c r="E700" s="1">
        <v>2.0</v>
      </c>
      <c r="F700" s="1" t="str">
        <f t="array" ref="F700">XLOOKUP(C700,customers!A699:A1699, customers!B699:B1699,0)</f>
        <v>Jimmy Dymoke</v>
      </c>
      <c r="G700" s="1" t="str">
        <f t="array" ref="G700">IF(XLOOKUP(C701,customers!$A$1:$A$1001,customers!$C$1:$C$1001,0)=0,"",XLOOKUP(C701,customers!$A$1:$A$1001,customers!$C$1:$C$1001,0))</f>
        <v>otadmanjf@ft.com</v>
      </c>
      <c r="H700" s="1" t="str">
        <f t="array" ref="H700">XLOOKUP(C700,customers!$A$1:$A$1001,customers!$F$1:$F$1001,0)</f>
        <v>Beaumont</v>
      </c>
    </row>
    <row r="701" ht="15.75" customHeight="1">
      <c r="A701" s="1" t="s">
        <v>1371</v>
      </c>
      <c r="B701" s="2">
        <v>44298.0</v>
      </c>
      <c r="C701" s="1" t="s">
        <v>1372</v>
      </c>
      <c r="D701" s="3" t="s">
        <v>85</v>
      </c>
      <c r="E701" s="1">
        <v>4.0</v>
      </c>
      <c r="F701" s="1" t="str">
        <f t="array" ref="F701">XLOOKUP(C701,customers!A700:A1700, customers!B700:B1700,0)</f>
        <v>Orland Tadman</v>
      </c>
      <c r="G701" s="1" t="str">
        <f t="array" ref="G701">IF(XLOOKUP(C702,customers!$A$1:$A$1001,customers!$C$1:$C$1001,0)=0,"",XLOOKUP(C702,customers!$A$1:$A$1001,customers!$C$1:$C$1001,0))</f>
        <v>bguddejg@dailymotion.com</v>
      </c>
      <c r="H701" s="1" t="str">
        <f t="array" ref="H701">XLOOKUP(C701,customers!$A$1:$A$1001,customers!$F$1:$F$1001,0)</f>
        <v>Miami</v>
      </c>
    </row>
    <row r="702" ht="15.75" customHeight="1">
      <c r="A702" s="1" t="s">
        <v>1373</v>
      </c>
      <c r="B702" s="2">
        <v>43736.0</v>
      </c>
      <c r="C702" s="1" t="s">
        <v>1374</v>
      </c>
      <c r="D702" s="3" t="s">
        <v>96</v>
      </c>
      <c r="E702" s="1">
        <v>2.0</v>
      </c>
      <c r="F702" s="1" t="str">
        <f t="array" ref="F702">XLOOKUP(C702,customers!A701:A1701, customers!B701:B1701,0)</f>
        <v>Barrett Gudde</v>
      </c>
      <c r="G702" s="1" t="str">
        <f t="array" ref="G702">IF(XLOOKUP(C703,customers!$A$1:$A$1001,customers!$C$1:$C$1001,0)=0,"",XLOOKUP(C703,customers!$A$1:$A$1001,customers!$C$1:$C$1001,0))</f>
        <v>nsictornesjh@buzzfeed.com</v>
      </c>
      <c r="H702" s="1" t="str">
        <f t="array" ref="H702">XLOOKUP(C702,customers!$A$1:$A$1001,customers!$F$1:$F$1001,0)</f>
        <v>San Francisco</v>
      </c>
    </row>
    <row r="703" ht="15.75" customHeight="1">
      <c r="A703" s="1" t="s">
        <v>1375</v>
      </c>
      <c r="B703" s="2">
        <v>44727.0</v>
      </c>
      <c r="C703" s="1" t="s">
        <v>1376</v>
      </c>
      <c r="D703" s="3" t="s">
        <v>85</v>
      </c>
      <c r="E703" s="1">
        <v>5.0</v>
      </c>
      <c r="F703" s="1" t="str">
        <f t="array" ref="F703">XLOOKUP(C703,customers!A702:A1702, customers!B702:B1702,0)</f>
        <v>Nathan Sictornes</v>
      </c>
      <c r="G703" s="1" t="str">
        <f t="array" ref="G703">IF(XLOOKUP(C704,customers!$A$1:$A$1001,customers!$C$1:$C$1001,0)=0,"",XLOOKUP(C704,customers!$A$1:$A$1001,customers!$C$1:$C$1001,0))</f>
        <v>vdunningji@independent.co.uk</v>
      </c>
      <c r="H703" s="1" t="str">
        <f t="array" ref="H703">XLOOKUP(C703,customers!$A$1:$A$1001,customers!$F$1:$F$1001,0)</f>
        <v>Sandyford</v>
      </c>
    </row>
    <row r="704" ht="15.75" customHeight="1">
      <c r="A704" s="1" t="s">
        <v>1377</v>
      </c>
      <c r="B704" s="2">
        <v>43661.0</v>
      </c>
      <c r="C704" s="1" t="s">
        <v>1378</v>
      </c>
      <c r="D704" s="3" t="s">
        <v>205</v>
      </c>
      <c r="E704" s="1">
        <v>1.0</v>
      </c>
      <c r="F704" s="1" t="str">
        <f t="array" ref="F704">XLOOKUP(C704,customers!A703:A1703, customers!B703:B1703,0)</f>
        <v>Vivyan Dunning</v>
      </c>
      <c r="G704" s="1" t="str">
        <f t="array" ref="G704">IF(XLOOKUP(C705,customers!$A$1:$A$1001,customers!$C$1:$C$1001,0)=0,"",XLOOKUP(C705,customers!$A$1:$A$1001,customers!$C$1:$C$1001,0))</f>
        <v/>
      </c>
      <c r="H704" s="1" t="str">
        <f t="array" ref="H704">XLOOKUP(C704,customers!$A$1:$A$1001,customers!$F$1:$F$1001,0)</f>
        <v>Punta Gorda</v>
      </c>
    </row>
    <row r="705" ht="15.75" customHeight="1">
      <c r="A705" s="1" t="s">
        <v>1379</v>
      </c>
      <c r="B705" s="2">
        <v>43506.0</v>
      </c>
      <c r="C705" s="1" t="s">
        <v>1380</v>
      </c>
      <c r="D705" s="3" t="s">
        <v>122</v>
      </c>
      <c r="E705" s="1">
        <v>4.0</v>
      </c>
      <c r="F705" s="1" t="str">
        <f t="array" ref="F705">XLOOKUP(C705,customers!A704:A1704, customers!B704:B1704,0)</f>
        <v>Doralin Baison</v>
      </c>
      <c r="G705" s="1" t="str">
        <f t="array" ref="G705">IF(XLOOKUP(C706,customers!$A$1:$A$1001,customers!$C$1:$C$1001,0)=0,"",XLOOKUP(C706,customers!$A$1:$A$1001,customers!$C$1:$C$1001,0))</f>
        <v/>
      </c>
      <c r="H705" s="1" t="str">
        <f t="array" ref="H705">XLOOKUP(C705,customers!$A$1:$A$1001,customers!$F$1:$F$1001,0)</f>
        <v>Ballivor</v>
      </c>
    </row>
    <row r="706" ht="15.75" customHeight="1">
      <c r="A706" s="1" t="s">
        <v>1381</v>
      </c>
      <c r="B706" s="2">
        <v>44716.0</v>
      </c>
      <c r="C706" s="1" t="s">
        <v>1382</v>
      </c>
      <c r="D706" s="3" t="s">
        <v>64</v>
      </c>
      <c r="E706" s="1">
        <v>6.0</v>
      </c>
      <c r="F706" s="1" t="str">
        <f t="array" ref="F706">XLOOKUP(C706,customers!A705:A1705, customers!B705:B1705,0)</f>
        <v>Josefina Ferens</v>
      </c>
      <c r="G706" s="1" t="str">
        <f t="array" ref="G706">IF(XLOOKUP(C707,customers!$A$1:$A$1001,customers!$C$1:$C$1001,0)=0,"",XLOOKUP(C707,customers!$A$1:$A$1001,customers!$C$1:$C$1001,0))</f>
        <v>sgehringjl@gnu.org</v>
      </c>
      <c r="H706" s="1" t="str">
        <f t="array" ref="H706">XLOOKUP(C706,customers!$A$1:$A$1001,customers!$F$1:$F$1001,0)</f>
        <v>New York City</v>
      </c>
    </row>
    <row r="707" ht="15.75" customHeight="1">
      <c r="A707" s="1" t="s">
        <v>1383</v>
      </c>
      <c r="B707" s="2">
        <v>44114.0</v>
      </c>
      <c r="C707" s="1" t="s">
        <v>1384</v>
      </c>
      <c r="D707" s="3" t="s">
        <v>189</v>
      </c>
      <c r="E707" s="1">
        <v>2.0</v>
      </c>
      <c r="F707" s="1" t="str">
        <f t="array" ref="F707">XLOOKUP(C707,customers!A706:A1706, customers!B706:B1706,0)</f>
        <v>Shelley Gehring</v>
      </c>
      <c r="G707" s="1" t="str">
        <f t="array" ref="G707">IF(XLOOKUP(C708,customers!$A$1:$A$1001,customers!$C$1:$C$1001,0)=0,"",XLOOKUP(C708,customers!$A$1:$A$1001,customers!$C$1:$C$1001,0))</f>
        <v>bfallowesjm@purevolume.com</v>
      </c>
      <c r="H707" s="1" t="str">
        <f t="array" ref="H707">XLOOKUP(C707,customers!$A$1:$A$1001,customers!$F$1:$F$1001,0)</f>
        <v>Spartanburg</v>
      </c>
    </row>
    <row r="708" ht="15.75" customHeight="1">
      <c r="A708" s="1" t="s">
        <v>1385</v>
      </c>
      <c r="B708" s="2">
        <v>44353.0</v>
      </c>
      <c r="C708" s="1" t="s">
        <v>1386</v>
      </c>
      <c r="D708" s="3" t="s">
        <v>77</v>
      </c>
      <c r="E708" s="1">
        <v>3.0</v>
      </c>
      <c r="F708" s="1" t="str">
        <f t="array" ref="F708">XLOOKUP(C708,customers!A707:A1707, customers!B707:B1707,0)</f>
        <v>Barrie Fallowes</v>
      </c>
      <c r="G708" s="1" t="str">
        <f t="array" ref="G708">IF(XLOOKUP(C709,customers!$A$1:$A$1001,customers!$C$1:$C$1001,0)=0,"",XLOOKUP(C709,customers!$A$1:$A$1001,customers!$C$1:$C$1001,0))</f>
        <v/>
      </c>
      <c r="H708" s="1" t="str">
        <f t="array" ref="H708">XLOOKUP(C708,customers!$A$1:$A$1001,customers!$F$1:$F$1001,0)</f>
        <v>Bakersfield</v>
      </c>
    </row>
    <row r="709" ht="15.75" customHeight="1">
      <c r="A709" s="1" t="s">
        <v>1387</v>
      </c>
      <c r="B709" s="2">
        <v>43540.0</v>
      </c>
      <c r="C709" s="1" t="s">
        <v>1388</v>
      </c>
      <c r="D709" s="3" t="s">
        <v>26</v>
      </c>
      <c r="E709" s="1">
        <v>2.0</v>
      </c>
      <c r="F709" s="1" t="str">
        <f t="array" ref="F709">XLOOKUP(C709,customers!A708:A1708, customers!B708:B1708,0)</f>
        <v>Nicolas Aiton</v>
      </c>
      <c r="G709" s="1" t="str">
        <f t="array" ref="G709">IF(XLOOKUP(C710,customers!$A$1:$A$1001,customers!$C$1:$C$1001,0)=0,"",XLOOKUP(C710,customers!$A$1:$A$1001,customers!$C$1:$C$1001,0))</f>
        <v>sdejo@newsvine.com</v>
      </c>
      <c r="H709" s="1" t="str">
        <f t="array" ref="H709">XLOOKUP(C709,customers!$A$1:$A$1001,customers!$F$1:$F$1001,0)</f>
        <v>Dungarvan</v>
      </c>
    </row>
    <row r="710" ht="15.75" customHeight="1">
      <c r="A710" s="1" t="s">
        <v>1389</v>
      </c>
      <c r="B710" s="2">
        <v>43804.0</v>
      </c>
      <c r="C710" s="1" t="s">
        <v>1390</v>
      </c>
      <c r="D710" s="3" t="s">
        <v>80</v>
      </c>
      <c r="E710" s="1">
        <v>2.0</v>
      </c>
      <c r="F710" s="1" t="str">
        <f t="array" ref="F710">XLOOKUP(C710,customers!A709:A1709, customers!B709:B1709,0)</f>
        <v>Shelli De Banke</v>
      </c>
      <c r="G710" s="1" t="str">
        <f t="array" ref="G710">IF(XLOOKUP(C711,customers!$A$1:$A$1001,customers!$C$1:$C$1001,0)=0,"",XLOOKUP(C711,customers!$A$1:$A$1001,customers!$C$1:$C$1001,0))</f>
        <v/>
      </c>
      <c r="H710" s="1" t="str">
        <f t="array" ref="H710">XLOOKUP(C710,customers!$A$1:$A$1001,customers!$F$1:$F$1001,0)</f>
        <v>Saint Louis</v>
      </c>
    </row>
    <row r="711" ht="15.75" customHeight="1">
      <c r="A711" s="1" t="s">
        <v>1391</v>
      </c>
      <c r="B711" s="2">
        <v>43485.0</v>
      </c>
      <c r="C711" s="1" t="s">
        <v>1392</v>
      </c>
      <c r="D711" s="3" t="s">
        <v>189</v>
      </c>
      <c r="E711" s="1">
        <v>2.0</v>
      </c>
      <c r="F711" s="1" t="str">
        <f t="array" ref="F711">XLOOKUP(C711,customers!A710:A1710, customers!B710:B1710,0)</f>
        <v>Lyell Murch</v>
      </c>
      <c r="G711" s="1" t="str">
        <f t="array" ref="G711">IF(XLOOKUP(C712,customers!$A$1:$A$1001,customers!$C$1:$C$1001,0)=0,"",XLOOKUP(C712,customers!$A$1:$A$1001,customers!$C$1:$C$1001,0))</f>
        <v>scountjq@nba.com</v>
      </c>
      <c r="H711" s="1" t="str">
        <f t="array" ref="H711">XLOOKUP(C711,customers!$A$1:$A$1001,customers!$F$1:$F$1001,0)</f>
        <v>Fort Wayne</v>
      </c>
    </row>
    <row r="712" ht="15.75" customHeight="1">
      <c r="A712" s="1" t="s">
        <v>1393</v>
      </c>
      <c r="B712" s="2">
        <v>44655.0</v>
      </c>
      <c r="C712" s="1" t="s">
        <v>1394</v>
      </c>
      <c r="D712" s="3" t="s">
        <v>16</v>
      </c>
      <c r="E712" s="1">
        <v>3.0</v>
      </c>
      <c r="F712" s="1" t="str">
        <f t="array" ref="F712">XLOOKUP(C712,customers!A711:A1711, customers!B711:B1711,0)</f>
        <v>Stearne Count</v>
      </c>
      <c r="G712" s="1" t="str">
        <f t="array" ref="G712">IF(XLOOKUP(C713,customers!$A$1:$A$1001,customers!$C$1:$C$1001,0)=0,"",XLOOKUP(C713,customers!$A$1:$A$1001,customers!$C$1:$C$1001,0))</f>
        <v>sraglesjr@blogtalkradio.com</v>
      </c>
      <c r="H712" s="1" t="str">
        <f t="array" ref="H712">XLOOKUP(C712,customers!$A$1:$A$1001,customers!$F$1:$F$1001,0)</f>
        <v>Young America</v>
      </c>
    </row>
    <row r="713" ht="15.75" customHeight="1">
      <c r="A713" s="1" t="s">
        <v>1395</v>
      </c>
      <c r="B713" s="2">
        <v>44600.0</v>
      </c>
      <c r="C713" s="1" t="s">
        <v>1396</v>
      </c>
      <c r="D713" s="3" t="s">
        <v>175</v>
      </c>
      <c r="E713" s="1">
        <v>6.0</v>
      </c>
      <c r="F713" s="1" t="str">
        <f t="array" ref="F713">XLOOKUP(C713,customers!A712:A1712, customers!B712:B1712,0)</f>
        <v>Selia Ragles</v>
      </c>
      <c r="G713" s="1" t="str">
        <f t="array" ref="G713">IF(XLOOKUP(C714,customers!$A$1:$A$1001,customers!$C$1:$C$1001,0)=0,"",XLOOKUP(C714,customers!$A$1:$A$1001,customers!$C$1:$C$1001,0))</f>
        <v/>
      </c>
      <c r="H713" s="1" t="str">
        <f t="array" ref="H713">XLOOKUP(C713,customers!$A$1:$A$1001,customers!$F$1:$F$1001,0)</f>
        <v>Fort Smith</v>
      </c>
    </row>
    <row r="714" ht="15.75" customHeight="1">
      <c r="A714" s="1" t="s">
        <v>1397</v>
      </c>
      <c r="B714" s="2">
        <v>43646.0</v>
      </c>
      <c r="C714" s="1" t="s">
        <v>1398</v>
      </c>
      <c r="D714" s="3" t="s">
        <v>16</v>
      </c>
      <c r="E714" s="1">
        <v>2.0</v>
      </c>
      <c r="F714" s="1" t="str">
        <f t="array" ref="F714">XLOOKUP(C714,customers!A713:A1713, customers!B713:B1713,0)</f>
        <v>Silas Deehan</v>
      </c>
      <c r="G714" s="1" t="str">
        <f t="array" ref="G714">IF(XLOOKUP(C715,customers!$A$1:$A$1001,customers!$C$1:$C$1001,0)=0,"",XLOOKUP(C715,customers!$A$1:$A$1001,customers!$C$1:$C$1001,0))</f>
        <v>sbruunjt@blogtalkradio.com</v>
      </c>
      <c r="H714" s="1" t="str">
        <f t="array" ref="H714">XLOOKUP(C714,customers!$A$1:$A$1001,customers!$F$1:$F$1001,0)</f>
        <v>Charlton</v>
      </c>
    </row>
    <row r="715" ht="15.75" customHeight="1">
      <c r="A715" s="1" t="s">
        <v>1399</v>
      </c>
      <c r="B715" s="2">
        <v>43960.0</v>
      </c>
      <c r="C715" s="1" t="s">
        <v>1400</v>
      </c>
      <c r="D715" s="3" t="s">
        <v>175</v>
      </c>
      <c r="E715" s="1">
        <v>1.0</v>
      </c>
      <c r="F715" s="1" t="str">
        <f t="array" ref="F715">XLOOKUP(C715,customers!A714:A1714, customers!B714:B1714,0)</f>
        <v>Sacha Bruun</v>
      </c>
      <c r="G715" s="1" t="str">
        <f t="array" ref="G715">IF(XLOOKUP(C716,customers!$A$1:$A$1001,customers!$C$1:$C$1001,0)=0,"",XLOOKUP(C716,customers!$A$1:$A$1001,customers!$C$1:$C$1001,0))</f>
        <v>aplluju@dagondesign.com</v>
      </c>
      <c r="H715" s="1" t="str">
        <f t="array" ref="H715">XLOOKUP(C715,customers!$A$1:$A$1001,customers!$F$1:$F$1001,0)</f>
        <v>Stockton</v>
      </c>
    </row>
    <row r="716" ht="15.75" customHeight="1">
      <c r="A716" s="1" t="s">
        <v>1401</v>
      </c>
      <c r="B716" s="2">
        <v>44358.0</v>
      </c>
      <c r="C716" s="1" t="s">
        <v>1402</v>
      </c>
      <c r="D716" s="3" t="s">
        <v>64</v>
      </c>
      <c r="E716" s="1">
        <v>4.0</v>
      </c>
      <c r="F716" s="1" t="str">
        <f t="array" ref="F716">XLOOKUP(C716,customers!A715:A1715, customers!B715:B1715,0)</f>
        <v>Alon Pllu</v>
      </c>
      <c r="G716" s="1" t="str">
        <f t="array" ref="G716">IF(XLOOKUP(C717,customers!$A$1:$A$1001,customers!$C$1:$C$1001,0)=0,"",XLOOKUP(C717,customers!$A$1:$A$1001,customers!$C$1:$C$1001,0))</f>
        <v>gcornierjv@techcrunch.com</v>
      </c>
      <c r="H716" s="1" t="str">
        <f t="array" ref="H716">XLOOKUP(C716,customers!$A$1:$A$1001,customers!$F$1:$F$1001,0)</f>
        <v>Navan</v>
      </c>
    </row>
    <row r="717" ht="15.75" customHeight="1">
      <c r="A717" s="1" t="s">
        <v>1403</v>
      </c>
      <c r="B717" s="2">
        <v>44504.0</v>
      </c>
      <c r="C717" s="1" t="s">
        <v>1404</v>
      </c>
      <c r="D717" s="3" t="s">
        <v>150</v>
      </c>
      <c r="E717" s="1">
        <v>6.0</v>
      </c>
      <c r="F717" s="1" t="str">
        <f t="array" ref="F717">XLOOKUP(C717,customers!A716:A1716, customers!B716:B1716,0)</f>
        <v>Gilberto Cornier</v>
      </c>
      <c r="G717" s="1" t="str">
        <f t="array" ref="G717">IF(XLOOKUP(C718,customers!$A$1:$A$1001,customers!$C$1:$C$1001,0)=0,"",XLOOKUP(C718,customers!$A$1:$A$1001,customers!$C$1:$C$1001,0))</f>
        <v>jdymokeje@prnewswire.com</v>
      </c>
      <c r="H717" s="1" t="str">
        <f t="array" ref="H717">XLOOKUP(C717,customers!$A$1:$A$1001,customers!$F$1:$F$1001,0)</f>
        <v>Tampa</v>
      </c>
    </row>
    <row r="718" ht="15.75" customHeight="1">
      <c r="A718" s="1" t="s">
        <v>1405</v>
      </c>
      <c r="B718" s="2">
        <v>44612.0</v>
      </c>
      <c r="C718" s="1" t="s">
        <v>1357</v>
      </c>
      <c r="D718" s="3" t="s">
        <v>202</v>
      </c>
      <c r="E718" s="1">
        <v>3.0</v>
      </c>
      <c r="F718" s="1">
        <f t="array" ref="F718">XLOOKUP(C718,customers!A717:A1717, customers!B717:B1717,0)</f>
        <v>0</v>
      </c>
      <c r="G718" s="1" t="str">
        <f t="array" ref="G718">IF(XLOOKUP(C719,customers!$A$1:$A$1001,customers!$C$1:$C$1001,0)=0,"",XLOOKUP(C719,customers!$A$1:$A$1001,customers!$C$1:$C$1001,0))</f>
        <v>wharvisonjx@gizmodo.com</v>
      </c>
      <c r="H718" s="1" t="str">
        <f t="array" ref="H718">XLOOKUP(C718,customers!$A$1:$A$1001,customers!$F$1:$F$1001,0)</f>
        <v>Beaumont</v>
      </c>
    </row>
    <row r="719" ht="15.75" customHeight="1">
      <c r="A719" s="1" t="s">
        <v>1406</v>
      </c>
      <c r="B719" s="2">
        <v>43649.0</v>
      </c>
      <c r="C719" s="1" t="s">
        <v>1407</v>
      </c>
      <c r="D719" s="3" t="s">
        <v>131</v>
      </c>
      <c r="E719" s="1">
        <v>3.0</v>
      </c>
      <c r="F719" s="1" t="str">
        <f t="array" ref="F719">XLOOKUP(C719,customers!A718:A1718, customers!B718:B1718,0)</f>
        <v>Willabella Harvison</v>
      </c>
      <c r="G719" s="1" t="str">
        <f t="array" ref="G719">IF(XLOOKUP(C720,customers!$A$1:$A$1001,customers!$C$1:$C$1001,0)=0,"",XLOOKUP(C720,customers!$A$1:$A$1001,customers!$C$1:$C$1001,0))</f>
        <v>dheafordjy@twitpic.com</v>
      </c>
      <c r="H719" s="1" t="str">
        <f t="array" ref="H719">XLOOKUP(C719,customers!$A$1:$A$1001,customers!$F$1:$F$1001,0)</f>
        <v>Philadelphia</v>
      </c>
    </row>
    <row r="720" ht="15.75" customHeight="1">
      <c r="A720" s="1" t="s">
        <v>1408</v>
      </c>
      <c r="B720" s="2">
        <v>44348.0</v>
      </c>
      <c r="C720" s="1" t="s">
        <v>1409</v>
      </c>
      <c r="D720" s="3" t="s">
        <v>26</v>
      </c>
      <c r="E720" s="1">
        <v>3.0</v>
      </c>
      <c r="F720" s="1" t="str">
        <f t="array" ref="F720">XLOOKUP(C720,customers!A719:A1719, customers!B719:B1719,0)</f>
        <v>Darice Heaford</v>
      </c>
      <c r="G720" s="1" t="str">
        <f t="array" ref="G720">IF(XLOOKUP(C721,customers!$A$1:$A$1001,customers!$C$1:$C$1001,0)=0,"",XLOOKUP(C721,customers!$A$1:$A$1001,customers!$C$1:$C$1001,0))</f>
        <v>gfanthamjz@hexun.com</v>
      </c>
      <c r="H720" s="1" t="str">
        <f t="array" ref="H720">XLOOKUP(C720,customers!$A$1:$A$1001,customers!$F$1:$F$1001,0)</f>
        <v>San Angelo</v>
      </c>
    </row>
    <row r="721" ht="15.75" customHeight="1">
      <c r="A721" s="1" t="s">
        <v>1410</v>
      </c>
      <c r="B721" s="2">
        <v>44150.0</v>
      </c>
      <c r="C721" s="1" t="s">
        <v>1411</v>
      </c>
      <c r="D721" s="3" t="s">
        <v>145</v>
      </c>
      <c r="E721" s="1">
        <v>5.0</v>
      </c>
      <c r="F721" s="1" t="str">
        <f t="array" ref="F721">XLOOKUP(C721,customers!A720:A1720, customers!B720:B1720,0)</f>
        <v>Granger Fantham</v>
      </c>
      <c r="G721" s="1" t="str">
        <f t="array" ref="G721">IF(XLOOKUP(C722,customers!$A$1:$A$1001,customers!$C$1:$C$1001,0)=0,"",XLOOKUP(C722,customers!$A$1:$A$1001,customers!$C$1:$C$1001,0))</f>
        <v>rcrookshanksk0@unc.edu</v>
      </c>
      <c r="H721" s="1" t="str">
        <f t="array" ref="H721">XLOOKUP(C721,customers!$A$1:$A$1001,customers!$F$1:$F$1001,0)</f>
        <v>Los Angeles</v>
      </c>
    </row>
    <row r="722" ht="15.75" customHeight="1">
      <c r="A722" s="1" t="s">
        <v>1412</v>
      </c>
      <c r="B722" s="2">
        <v>44215.0</v>
      </c>
      <c r="C722" s="1" t="s">
        <v>1413</v>
      </c>
      <c r="D722" s="3" t="s">
        <v>29</v>
      </c>
      <c r="E722" s="1">
        <v>5.0</v>
      </c>
      <c r="F722" s="1" t="str">
        <f t="array" ref="F722">XLOOKUP(C722,customers!A721:A1721, customers!B721:B1721,0)</f>
        <v>Reynolds Crookshanks</v>
      </c>
      <c r="G722" s="1" t="str">
        <f t="array" ref="G722">IF(XLOOKUP(C723,customers!$A$1:$A$1001,customers!$C$1:$C$1001,0)=0,"",XLOOKUP(C723,customers!$A$1:$A$1001,customers!$C$1:$C$1001,0))</f>
        <v>nleakek1@cmu.edu</v>
      </c>
      <c r="H722" s="1" t="str">
        <f t="array" ref="H722">XLOOKUP(C722,customers!$A$1:$A$1001,customers!$F$1:$F$1001,0)</f>
        <v>Lansing</v>
      </c>
    </row>
    <row r="723" ht="15.75" customHeight="1">
      <c r="A723" s="1" t="s">
        <v>1414</v>
      </c>
      <c r="B723" s="2">
        <v>44479.0</v>
      </c>
      <c r="C723" s="1" t="s">
        <v>1415</v>
      </c>
      <c r="D723" s="3" t="s">
        <v>175</v>
      </c>
      <c r="E723" s="1">
        <v>3.0</v>
      </c>
      <c r="F723" s="1" t="str">
        <f t="array" ref="F723">XLOOKUP(C723,customers!A722:A1722, customers!B722:B1722,0)</f>
        <v>Niels Leake</v>
      </c>
      <c r="G723" s="1" t="str">
        <f t="array" ref="G723">IF(XLOOKUP(C724,customers!$A$1:$A$1001,customers!$C$1:$C$1001,0)=0,"",XLOOKUP(C724,customers!$A$1:$A$1001,customers!$C$1:$C$1001,0))</f>
        <v/>
      </c>
      <c r="H723" s="1" t="str">
        <f t="array" ref="H723">XLOOKUP(C723,customers!$A$1:$A$1001,customers!$F$1:$F$1001,0)</f>
        <v>Clearwater</v>
      </c>
    </row>
    <row r="724" ht="15.75" customHeight="1">
      <c r="A724" s="1" t="s">
        <v>1416</v>
      </c>
      <c r="B724" s="2">
        <v>44620.0</v>
      </c>
      <c r="C724" s="1" t="s">
        <v>1417</v>
      </c>
      <c r="D724" s="3" t="s">
        <v>258</v>
      </c>
      <c r="E724" s="1">
        <v>2.0</v>
      </c>
      <c r="F724" s="1" t="str">
        <f t="array" ref="F724">XLOOKUP(C724,customers!A723:A1723, customers!B723:B1723,0)</f>
        <v>Hetti Measures</v>
      </c>
      <c r="G724" s="1" t="str">
        <f t="array" ref="G724">IF(XLOOKUP(C725,customers!$A$1:$A$1001,customers!$C$1:$C$1001,0)=0,"",XLOOKUP(C725,customers!$A$1:$A$1001,customers!$C$1:$C$1001,0))</f>
        <v>geilhersenk3@networksolutions.com</v>
      </c>
      <c r="H724" s="1" t="str">
        <f t="array" ref="H724">XLOOKUP(C724,customers!$A$1:$A$1001,customers!$F$1:$F$1001,0)</f>
        <v>Whittier</v>
      </c>
    </row>
    <row r="725" ht="15.75" customHeight="1">
      <c r="A725" s="1" t="s">
        <v>1418</v>
      </c>
      <c r="B725" s="2">
        <v>44470.0</v>
      </c>
      <c r="C725" s="1" t="s">
        <v>1419</v>
      </c>
      <c r="D725" s="3" t="s">
        <v>125</v>
      </c>
      <c r="E725" s="1">
        <v>2.0</v>
      </c>
      <c r="F725" s="1" t="str">
        <f t="array" ref="F725">XLOOKUP(C725,customers!A724:A1724, customers!B724:B1724,0)</f>
        <v>Gay Eilhersen</v>
      </c>
      <c r="G725" s="1" t="str">
        <f t="array" ref="G725">IF(XLOOKUP(C726,customers!$A$1:$A$1001,customers!$C$1:$C$1001,0)=0,"",XLOOKUP(C726,customers!$A$1:$A$1001,customers!$C$1:$C$1001,0))</f>
        <v/>
      </c>
      <c r="H725" s="1" t="str">
        <f t="array" ref="H725">XLOOKUP(C725,customers!$A$1:$A$1001,customers!$F$1:$F$1001,0)</f>
        <v>Fresno</v>
      </c>
    </row>
    <row r="726" ht="15.75" customHeight="1">
      <c r="A726" s="1" t="s">
        <v>1420</v>
      </c>
      <c r="B726" s="2">
        <v>44076.0</v>
      </c>
      <c r="C726" s="1" t="s">
        <v>1421</v>
      </c>
      <c r="D726" s="3" t="s">
        <v>57</v>
      </c>
      <c r="E726" s="1">
        <v>2.0</v>
      </c>
      <c r="F726" s="1" t="str">
        <f t="array" ref="F726">XLOOKUP(C726,customers!A725:A1725, customers!B725:B1725,0)</f>
        <v>Nico Hubert</v>
      </c>
      <c r="G726" s="1" t="str">
        <f t="array" ref="G726">IF(XLOOKUP(C727,customers!$A$1:$A$1001,customers!$C$1:$C$1001,0)=0,"",XLOOKUP(C727,customers!$A$1:$A$1001,customers!$C$1:$C$1001,0))</f>
        <v>caleixok5@globo.com</v>
      </c>
      <c r="H726" s="1" t="str">
        <f t="array" ref="H726">XLOOKUP(C726,customers!$A$1:$A$1001,customers!$F$1:$F$1001,0)</f>
        <v>New York City</v>
      </c>
    </row>
    <row r="727" ht="15.75" customHeight="1">
      <c r="A727" s="1" t="s">
        <v>1422</v>
      </c>
      <c r="B727" s="2">
        <v>44043.0</v>
      </c>
      <c r="C727" s="1" t="s">
        <v>1423</v>
      </c>
      <c r="D727" s="3" t="s">
        <v>128</v>
      </c>
      <c r="E727" s="1">
        <v>6.0</v>
      </c>
      <c r="F727" s="1" t="str">
        <f t="array" ref="F727">XLOOKUP(C727,customers!A726:A1726, customers!B726:B1726,0)</f>
        <v>Cristina Aleixo</v>
      </c>
      <c r="G727" s="1" t="str">
        <f t="array" ref="G727">IF(XLOOKUP(C728,customers!$A$1:$A$1001,customers!$C$1:$C$1001,0)=0,"",XLOOKUP(C728,customers!$A$1:$A$1001,customers!$C$1:$C$1001,0))</f>
        <v/>
      </c>
      <c r="H727" s="1" t="str">
        <f t="array" ref="H727">XLOOKUP(C727,customers!$A$1:$A$1001,customers!$F$1:$F$1001,0)</f>
        <v>Colorado Springs</v>
      </c>
    </row>
    <row r="728" ht="15.75" customHeight="1">
      <c r="A728" s="1" t="s">
        <v>1424</v>
      </c>
      <c r="B728" s="2">
        <v>44571.0</v>
      </c>
      <c r="C728" s="1" t="s">
        <v>1425</v>
      </c>
      <c r="D728" s="3" t="s">
        <v>117</v>
      </c>
      <c r="E728" s="1">
        <v>4.0</v>
      </c>
      <c r="F728" s="1" t="str">
        <f t="array" ref="F728">XLOOKUP(C728,customers!A727:A1727, customers!B727:B1727,0)</f>
        <v>Derrek Allpress</v>
      </c>
      <c r="G728" s="1" t="str">
        <f t="array" ref="G728">IF(XLOOKUP(C729,customers!$A$1:$A$1001,customers!$C$1:$C$1001,0)=0,"",XLOOKUP(C729,customers!$A$1:$A$1001,customers!$C$1:$C$1001,0))</f>
        <v>rtomkowiczk7@bravesites.com</v>
      </c>
      <c r="H728" s="1" t="str">
        <f t="array" ref="H728">XLOOKUP(C728,customers!$A$1:$A$1001,customers!$F$1:$F$1001,0)</f>
        <v>Long Beach</v>
      </c>
    </row>
    <row r="729" ht="15.75" customHeight="1">
      <c r="A729" s="1" t="s">
        <v>1426</v>
      </c>
      <c r="B729" s="2">
        <v>44264.0</v>
      </c>
      <c r="C729" s="1" t="s">
        <v>1427</v>
      </c>
      <c r="D729" s="3" t="s">
        <v>35</v>
      </c>
      <c r="E729" s="1">
        <v>5.0</v>
      </c>
      <c r="F729" s="1" t="str">
        <f t="array" ref="F729">XLOOKUP(C729,customers!A728:A1728, customers!B728:B1728,0)</f>
        <v>Rikki Tomkowicz</v>
      </c>
      <c r="G729" s="1" t="str">
        <f t="array" ref="G729">IF(XLOOKUP(C730,customers!$A$1:$A$1001,customers!$C$1:$C$1001,0)=0,"",XLOOKUP(C730,customers!$A$1:$A$1001,customers!$C$1:$C$1001,0))</f>
        <v>rhuscroftk8@jimdo.com</v>
      </c>
      <c r="H729" s="1" t="str">
        <f t="array" ref="H729">XLOOKUP(C729,customers!$A$1:$A$1001,customers!$F$1:$F$1001,0)</f>
        <v>Lusk</v>
      </c>
    </row>
    <row r="730" ht="15.75" customHeight="1">
      <c r="A730" s="1" t="s">
        <v>1428</v>
      </c>
      <c r="B730" s="2">
        <v>44155.0</v>
      </c>
      <c r="C730" s="1" t="s">
        <v>1429</v>
      </c>
      <c r="D730" s="3" t="s">
        <v>29</v>
      </c>
      <c r="E730" s="1">
        <v>3.0</v>
      </c>
      <c r="F730" s="1" t="str">
        <f t="array" ref="F730">XLOOKUP(C730,customers!A729:A1729, customers!B729:B1729,0)</f>
        <v>Rochette Huscroft</v>
      </c>
      <c r="G730" s="1" t="str">
        <f t="array" ref="G730">IF(XLOOKUP(C731,customers!$A$1:$A$1001,customers!$C$1:$C$1001,0)=0,"",XLOOKUP(C731,customers!$A$1:$A$1001,customers!$C$1:$C$1001,0))</f>
        <v>sscurrerk9@flavors.me</v>
      </c>
      <c r="H730" s="1" t="str">
        <f t="array" ref="H730">XLOOKUP(C730,customers!$A$1:$A$1001,customers!$F$1:$F$1001,0)</f>
        <v>Reno</v>
      </c>
    </row>
    <row r="731" ht="15.75" customHeight="1">
      <c r="A731" s="1" t="s">
        <v>1430</v>
      </c>
      <c r="B731" s="2">
        <v>44634.0</v>
      </c>
      <c r="C731" s="1" t="s">
        <v>1431</v>
      </c>
      <c r="D731" s="3" t="s">
        <v>90</v>
      </c>
      <c r="E731" s="1">
        <v>1.0</v>
      </c>
      <c r="F731" s="1" t="str">
        <f t="array" ref="F731">XLOOKUP(C731,customers!A730:A1730, customers!B730:B1730,0)</f>
        <v>Selle Scurrer</v>
      </c>
      <c r="G731" s="1" t="str">
        <f t="array" ref="G731">IF(XLOOKUP(C732,customers!$A$1:$A$1001,customers!$C$1:$C$1001,0)=0,"",XLOOKUP(C732,customers!$A$1:$A$1001,customers!$C$1:$C$1001,0))</f>
        <v>arudramka@prnewswire.com</v>
      </c>
      <c r="H731" s="1" t="str">
        <f t="array" ref="H731">XLOOKUP(C731,customers!$A$1:$A$1001,customers!$F$1:$F$1001,0)</f>
        <v>Upton</v>
      </c>
    </row>
    <row r="732" ht="15.75" customHeight="1">
      <c r="A732" s="1" t="s">
        <v>1432</v>
      </c>
      <c r="B732" s="2">
        <v>43475.0</v>
      </c>
      <c r="C732" s="1" t="s">
        <v>1433</v>
      </c>
      <c r="D732" s="3" t="s">
        <v>117</v>
      </c>
      <c r="E732" s="1">
        <v>1.0</v>
      </c>
      <c r="F732" s="1" t="str">
        <f t="array" ref="F732">XLOOKUP(C732,customers!A731:A1731, customers!B731:B1731,0)</f>
        <v>Andie Rudram</v>
      </c>
      <c r="G732" s="1" t="str">
        <f t="array" ref="G732">IF(XLOOKUP(C733,customers!$A$1:$A$1001,customers!$C$1:$C$1001,0)=0,"",XLOOKUP(C733,customers!$A$1:$A$1001,customers!$C$1:$C$1001,0))</f>
        <v/>
      </c>
      <c r="H732" s="1" t="str">
        <f t="array" ref="H732">XLOOKUP(C732,customers!$A$1:$A$1001,customers!$F$1:$F$1001,0)</f>
        <v>Las Vegas</v>
      </c>
    </row>
    <row r="733" ht="15.75" customHeight="1">
      <c r="A733" s="1" t="s">
        <v>1434</v>
      </c>
      <c r="B733" s="2">
        <v>44222.0</v>
      </c>
      <c r="C733" s="1" t="s">
        <v>1435</v>
      </c>
      <c r="D733" s="3" t="s">
        <v>51</v>
      </c>
      <c r="E733" s="1">
        <v>4.0</v>
      </c>
      <c r="F733" s="1" t="str">
        <f t="array" ref="F733">XLOOKUP(C733,customers!A732:A1732, customers!B732:B1732,0)</f>
        <v>Leta Clarricoates</v>
      </c>
      <c r="G733" s="1" t="str">
        <f t="array" ref="G733">IF(XLOOKUP(C734,customers!$A$1:$A$1001,customers!$C$1:$C$1001,0)=0,"",XLOOKUP(C734,customers!$A$1:$A$1001,customers!$C$1:$C$1001,0))</f>
        <v>jmahakc@cyberchimps.com</v>
      </c>
      <c r="H733" s="1" t="str">
        <f t="array" ref="H733">XLOOKUP(C733,customers!$A$1:$A$1001,customers!$F$1:$F$1001,0)</f>
        <v>Wilmington</v>
      </c>
    </row>
    <row r="734" ht="15.75" customHeight="1">
      <c r="A734" s="1" t="s">
        <v>1436</v>
      </c>
      <c r="B734" s="2">
        <v>44312.0</v>
      </c>
      <c r="C734" s="1" t="s">
        <v>1437</v>
      </c>
      <c r="D734" s="3" t="s">
        <v>267</v>
      </c>
      <c r="E734" s="1">
        <v>2.0</v>
      </c>
      <c r="F734" s="1" t="str">
        <f t="array" ref="F734">XLOOKUP(C734,customers!A733:A1733, customers!B733:B1733,0)</f>
        <v>Jacquelyn Maha</v>
      </c>
      <c r="G734" s="1" t="str">
        <f t="array" ref="G734">IF(XLOOKUP(C735,customers!$A$1:$A$1001,customers!$C$1:$C$1001,0)=0,"",XLOOKUP(C735,customers!$A$1:$A$1001,customers!$C$1:$C$1001,0))</f>
        <v>gclemonkd@networksolutions.com</v>
      </c>
      <c r="H734" s="1" t="str">
        <f t="array" ref="H734">XLOOKUP(C734,customers!$A$1:$A$1001,customers!$F$1:$F$1001,0)</f>
        <v>Reno</v>
      </c>
    </row>
    <row r="735" ht="15.75" customHeight="1">
      <c r="A735" s="1" t="s">
        <v>1438</v>
      </c>
      <c r="B735" s="2">
        <v>44565.0</v>
      </c>
      <c r="C735" s="1" t="s">
        <v>1439</v>
      </c>
      <c r="D735" s="3" t="s">
        <v>210</v>
      </c>
      <c r="E735" s="1">
        <v>3.0</v>
      </c>
      <c r="F735" s="1" t="str">
        <f t="array" ref="F735">XLOOKUP(C735,customers!A734:A1734, customers!B734:B1734,0)</f>
        <v>Glory Clemon</v>
      </c>
      <c r="G735" s="1" t="str">
        <f t="array" ref="G735">IF(XLOOKUP(C736,customers!$A$1:$A$1001,customers!$C$1:$C$1001,0)=0,"",XLOOKUP(C736,customers!$A$1:$A$1001,customers!$C$1:$C$1001,0))</f>
        <v/>
      </c>
      <c r="H735" s="1" t="str">
        <f t="array" ref="H735">XLOOKUP(C735,customers!$A$1:$A$1001,customers!$F$1:$F$1001,0)</f>
        <v>Tuscaloosa</v>
      </c>
    </row>
    <row r="736" ht="15.75" customHeight="1">
      <c r="A736" s="1" t="s">
        <v>1440</v>
      </c>
      <c r="B736" s="2">
        <v>43697.0</v>
      </c>
      <c r="C736" s="1" t="s">
        <v>1441</v>
      </c>
      <c r="D736" s="3" t="s">
        <v>114</v>
      </c>
      <c r="E736" s="1">
        <v>5.0</v>
      </c>
      <c r="F736" s="1" t="str">
        <f t="array" ref="F736">XLOOKUP(C736,customers!A735:A1735, customers!B735:B1735,0)</f>
        <v>Alica Kift</v>
      </c>
      <c r="G736" s="1" t="str">
        <f t="array" ref="G736">IF(XLOOKUP(C737,customers!$A$1:$A$1001,customers!$C$1:$C$1001,0)=0,"",XLOOKUP(C737,customers!$A$1:$A$1001,customers!$C$1:$C$1001,0))</f>
        <v>bpollinskf@shinystat.com</v>
      </c>
      <c r="H736" s="1" t="str">
        <f t="array" ref="H736">XLOOKUP(C736,customers!$A$1:$A$1001,customers!$F$1:$F$1001,0)</f>
        <v>Garden Grove</v>
      </c>
    </row>
    <row r="737" ht="15.75" customHeight="1">
      <c r="A737" s="1" t="s">
        <v>1442</v>
      </c>
      <c r="B737" s="2">
        <v>44757.0</v>
      </c>
      <c r="C737" s="1" t="s">
        <v>1443</v>
      </c>
      <c r="D737" s="3" t="s">
        <v>64</v>
      </c>
      <c r="E737" s="1">
        <v>6.0</v>
      </c>
      <c r="F737" s="1" t="str">
        <f t="array" ref="F737">XLOOKUP(C737,customers!A736:A1736, customers!B736:B1736,0)</f>
        <v>Babb Pollins</v>
      </c>
      <c r="G737" s="1" t="str">
        <f t="array" ref="G737">IF(XLOOKUP(C738,customers!$A$1:$A$1001,customers!$C$1:$C$1001,0)=0,"",XLOOKUP(C738,customers!$A$1:$A$1001,customers!$C$1:$C$1001,0))</f>
        <v>jtoyekg@pinterest.com</v>
      </c>
      <c r="H737" s="1" t="str">
        <f t="array" ref="H737">XLOOKUP(C737,customers!$A$1:$A$1001,customers!$F$1:$F$1001,0)</f>
        <v>Shawnee Mission</v>
      </c>
    </row>
    <row r="738" ht="15.75" customHeight="1">
      <c r="A738" s="1" t="s">
        <v>1444</v>
      </c>
      <c r="B738" s="2">
        <v>43508.0</v>
      </c>
      <c r="C738" s="1" t="s">
        <v>1445</v>
      </c>
      <c r="D738" s="3" t="s">
        <v>26</v>
      </c>
      <c r="E738" s="1">
        <v>2.0</v>
      </c>
      <c r="F738" s="1" t="str">
        <f t="array" ref="F738">XLOOKUP(C738,customers!A737:A1737, customers!B737:B1737,0)</f>
        <v>Jarret Toye</v>
      </c>
      <c r="G738" s="1" t="str">
        <f t="array" ref="G738">IF(XLOOKUP(C739,customers!$A$1:$A$1001,customers!$C$1:$C$1001,0)=0,"",XLOOKUP(C739,customers!$A$1:$A$1001,customers!$C$1:$C$1001,0))</f>
        <v>clinskillkh@sphinn.com</v>
      </c>
      <c r="H738" s="1" t="str">
        <f t="array" ref="H738">XLOOKUP(C738,customers!$A$1:$A$1001,customers!$F$1:$F$1001,0)</f>
        <v>Ballivor</v>
      </c>
    </row>
    <row r="739" ht="15.75" customHeight="1">
      <c r="A739" s="1" t="s">
        <v>1446</v>
      </c>
      <c r="B739" s="2">
        <v>44447.0</v>
      </c>
      <c r="C739" s="1" t="s">
        <v>1447</v>
      </c>
      <c r="D739" s="3" t="s">
        <v>74</v>
      </c>
      <c r="E739" s="1">
        <v>5.0</v>
      </c>
      <c r="F739" s="1" t="str">
        <f t="array" ref="F739">XLOOKUP(C739,customers!A738:A1738, customers!B738:B1738,0)</f>
        <v>Carlie Linskill</v>
      </c>
      <c r="G739" s="1" t="str">
        <f t="array" ref="G739">IF(XLOOKUP(C740,customers!$A$1:$A$1001,customers!$C$1:$C$1001,0)=0,"",XLOOKUP(C740,customers!$A$1:$A$1001,customers!$C$1:$C$1001,0))</f>
        <v>nvigrasski@ezinearticles.com</v>
      </c>
      <c r="H739" s="1" t="str">
        <f t="array" ref="H739">XLOOKUP(C739,customers!$A$1:$A$1001,customers!$F$1:$F$1001,0)</f>
        <v>Cincinnati</v>
      </c>
    </row>
    <row r="740" ht="15.75" customHeight="1">
      <c r="A740" s="1" t="s">
        <v>1448</v>
      </c>
      <c r="B740" s="2">
        <v>43812.0</v>
      </c>
      <c r="C740" s="1" t="s">
        <v>1449</v>
      </c>
      <c r="D740" s="3" t="s">
        <v>195</v>
      </c>
      <c r="E740" s="1">
        <v>3.0</v>
      </c>
      <c r="F740" s="1" t="str">
        <f t="array" ref="F740">XLOOKUP(C740,customers!A739:A1739, customers!B739:B1739,0)</f>
        <v>Natal Vigrass</v>
      </c>
      <c r="G740" s="1" t="str">
        <f t="array" ref="G740">IF(XLOOKUP(C741,customers!$A$1:$A$1001,customers!$C$1:$C$1001,0)=0,"",XLOOKUP(C741,customers!$A$1:$A$1001,customers!$C$1:$C$1001,0))</f>
        <v>jdymokeje@prnewswire.com</v>
      </c>
      <c r="H740" s="1" t="str">
        <f t="array" ref="H740">XLOOKUP(C740,customers!$A$1:$A$1001,customers!$F$1:$F$1001,0)</f>
        <v>Whitwell</v>
      </c>
    </row>
    <row r="741" ht="15.75" customHeight="1">
      <c r="A741" s="1" t="s">
        <v>1450</v>
      </c>
      <c r="B741" s="2">
        <v>44433.0</v>
      </c>
      <c r="C741" s="1" t="s">
        <v>1357</v>
      </c>
      <c r="D741" s="3" t="s">
        <v>64</v>
      </c>
      <c r="E741" s="1">
        <v>5.0</v>
      </c>
      <c r="F741" s="1">
        <f t="array" ref="F741">XLOOKUP(C741,customers!A740:A1740, customers!B740:B1740,0)</f>
        <v>0</v>
      </c>
      <c r="G741" s="1" t="str">
        <f t="array" ref="G741">IF(XLOOKUP(C742,customers!$A$1:$A$1001,customers!$C$1:$C$1001,0)=0,"",XLOOKUP(C742,customers!$A$1:$A$1001,customers!$C$1:$C$1001,0))</f>
        <v>kcragellkk@google.com</v>
      </c>
      <c r="H741" s="1" t="str">
        <f t="array" ref="H741">XLOOKUP(C741,customers!$A$1:$A$1001,customers!$F$1:$F$1001,0)</f>
        <v>Beaumont</v>
      </c>
    </row>
    <row r="742" ht="15.75" customHeight="1">
      <c r="A742" s="1" t="s">
        <v>1451</v>
      </c>
      <c r="B742" s="2">
        <v>44643.0</v>
      </c>
      <c r="C742" s="1" t="s">
        <v>1452</v>
      </c>
      <c r="D742" s="3" t="s">
        <v>170</v>
      </c>
      <c r="E742" s="1">
        <v>4.0</v>
      </c>
      <c r="F742" s="1" t="str">
        <f t="array" ref="F742">XLOOKUP(C742,customers!A741:A1741, customers!B741:B1741,0)</f>
        <v>Kandace Cragell</v>
      </c>
      <c r="G742" s="1" t="str">
        <f t="array" ref="G742">IF(XLOOKUP(C743,customers!$A$1:$A$1001,customers!$C$1:$C$1001,0)=0,"",XLOOKUP(C743,customers!$A$1:$A$1001,customers!$C$1:$C$1001,0))</f>
        <v>libertkl@huffingtonpost.com</v>
      </c>
      <c r="H742" s="1" t="str">
        <f t="array" ref="H742">XLOOKUP(C742,customers!$A$1:$A$1001,customers!$F$1:$F$1001,0)</f>
        <v>Dungarvan</v>
      </c>
    </row>
    <row r="743" ht="15.75" customHeight="1">
      <c r="A743" s="1" t="s">
        <v>1453</v>
      </c>
      <c r="B743" s="2">
        <v>43566.0</v>
      </c>
      <c r="C743" s="1" t="s">
        <v>1454</v>
      </c>
      <c r="D743" s="3" t="s">
        <v>90</v>
      </c>
      <c r="E743" s="1">
        <v>2.0</v>
      </c>
      <c r="F743" s="1" t="str">
        <f t="array" ref="F743">XLOOKUP(C743,customers!A742:A1742, customers!B742:B1742,0)</f>
        <v>Lyon Ibert</v>
      </c>
      <c r="G743" s="1" t="str">
        <f t="array" ref="G743">IF(XLOOKUP(C744,customers!$A$1:$A$1001,customers!$C$1:$C$1001,0)=0,"",XLOOKUP(C744,customers!$A$1:$A$1001,customers!$C$1:$C$1001,0))</f>
        <v>rlidgeykm@vimeo.com</v>
      </c>
      <c r="H743" s="1" t="str">
        <f t="array" ref="H743">XLOOKUP(C743,customers!$A$1:$A$1001,customers!$F$1:$F$1001,0)</f>
        <v>Sunnyvale</v>
      </c>
    </row>
    <row r="744" ht="15.75" customHeight="1">
      <c r="A744" s="1" t="s">
        <v>1455</v>
      </c>
      <c r="B744" s="2">
        <v>44133.0</v>
      </c>
      <c r="C744" s="1" t="s">
        <v>1456</v>
      </c>
      <c r="D744" s="3" t="s">
        <v>109</v>
      </c>
      <c r="E744" s="1">
        <v>4.0</v>
      </c>
      <c r="F744" s="1" t="str">
        <f t="array" ref="F744">XLOOKUP(C744,customers!A743:A1743, customers!B743:B1743,0)</f>
        <v>Reese Lidgey</v>
      </c>
      <c r="G744" s="1" t="str">
        <f t="array" ref="G744">IF(XLOOKUP(C745,customers!$A$1:$A$1001,customers!$C$1:$C$1001,0)=0,"",XLOOKUP(C745,customers!$A$1:$A$1001,customers!$C$1:$C$1001,0))</f>
        <v>tcastagnekn@wikia.com</v>
      </c>
      <c r="H744" s="1" t="str">
        <f t="array" ref="H744">XLOOKUP(C744,customers!$A$1:$A$1001,customers!$F$1:$F$1001,0)</f>
        <v>Memphis</v>
      </c>
    </row>
    <row r="745" ht="15.75" customHeight="1">
      <c r="A745" s="1" t="s">
        <v>1457</v>
      </c>
      <c r="B745" s="2">
        <v>44042.0</v>
      </c>
      <c r="C745" s="1" t="s">
        <v>1458</v>
      </c>
      <c r="D745" s="3" t="s">
        <v>85</v>
      </c>
      <c r="E745" s="1">
        <v>3.0</v>
      </c>
      <c r="F745" s="1" t="str">
        <f t="array" ref="F745">XLOOKUP(C745,customers!A744:A1744, customers!B744:B1744,0)</f>
        <v>Tersina Castagne</v>
      </c>
      <c r="G745" s="1" t="str">
        <f t="array" ref="G745">IF(XLOOKUP(C746,customers!$A$1:$A$1001,customers!$C$1:$C$1001,0)=0,"",XLOOKUP(C746,customers!$A$1:$A$1001,customers!$C$1:$C$1001,0))</f>
        <v/>
      </c>
      <c r="H745" s="1" t="str">
        <f t="array" ref="H745">XLOOKUP(C745,customers!$A$1:$A$1001,customers!$F$1:$F$1001,0)</f>
        <v>Orlando</v>
      </c>
    </row>
    <row r="746" ht="15.75" customHeight="1">
      <c r="A746" s="1" t="s">
        <v>1459</v>
      </c>
      <c r="B746" s="2">
        <v>43539.0</v>
      </c>
      <c r="C746" s="1" t="s">
        <v>1460</v>
      </c>
      <c r="D746" s="3" t="s">
        <v>175</v>
      </c>
      <c r="E746" s="1">
        <v>6.0</v>
      </c>
      <c r="F746" s="1" t="str">
        <f t="array" ref="F746">XLOOKUP(C746,customers!A745:A1745, customers!B745:B1745,0)</f>
        <v>Samuele Klaaassen</v>
      </c>
      <c r="G746" s="1" t="str">
        <f t="array" ref="G746">IF(XLOOKUP(C747,customers!$A$1:$A$1001,customers!$C$1:$C$1001,0)=0,"",XLOOKUP(C747,customers!$A$1:$A$1001,customers!$C$1:$C$1001,0))</f>
        <v>jhaldenkp@comcast.net</v>
      </c>
      <c r="H746" s="1" t="str">
        <f t="array" ref="H746">XLOOKUP(C746,customers!$A$1:$A$1001,customers!$F$1:$F$1001,0)</f>
        <v>Detroit</v>
      </c>
    </row>
    <row r="747" ht="15.75" customHeight="1">
      <c r="A747" s="1" t="s">
        <v>1461</v>
      </c>
      <c r="B747" s="2">
        <v>44557.0</v>
      </c>
      <c r="C747" s="1" t="s">
        <v>1462</v>
      </c>
      <c r="D747" s="3" t="s">
        <v>29</v>
      </c>
      <c r="E747" s="1">
        <v>2.0</v>
      </c>
      <c r="F747" s="1" t="str">
        <f t="array" ref="F747">XLOOKUP(C747,customers!A746:A1746, customers!B746:B1746,0)</f>
        <v>Jordana Halden</v>
      </c>
      <c r="G747" s="1" t="str">
        <f t="array" ref="G747">IF(XLOOKUP(C748,customers!$A$1:$A$1001,customers!$C$1:$C$1001,0)=0,"",XLOOKUP(C748,customers!$A$1:$A$1001,customers!$C$1:$C$1001,0))</f>
        <v>holliffkq@sciencedirect.com</v>
      </c>
      <c r="H747" s="1" t="str">
        <f t="array" ref="H747">XLOOKUP(C747,customers!$A$1:$A$1001,customers!$F$1:$F$1001,0)</f>
        <v>Clones</v>
      </c>
    </row>
    <row r="748" ht="15.75" customHeight="1">
      <c r="A748" s="1" t="s">
        <v>1463</v>
      </c>
      <c r="B748" s="2">
        <v>43741.0</v>
      </c>
      <c r="C748" s="1" t="s">
        <v>1464</v>
      </c>
      <c r="D748" s="3" t="s">
        <v>74</v>
      </c>
      <c r="E748" s="1">
        <v>3.0</v>
      </c>
      <c r="F748" s="1" t="str">
        <f t="array" ref="F748">XLOOKUP(C748,customers!A747:A1747, customers!B747:B1747,0)</f>
        <v>Hussein Olliff</v>
      </c>
      <c r="G748" s="1" t="str">
        <f t="array" ref="G748">IF(XLOOKUP(C749,customers!$A$1:$A$1001,customers!$C$1:$C$1001,0)=0,"",XLOOKUP(C749,customers!$A$1:$A$1001,customers!$C$1:$C$1001,0))</f>
        <v>tquadrikr@opensource.org</v>
      </c>
      <c r="H748" s="1" t="str">
        <f t="array" ref="H748">XLOOKUP(C748,customers!$A$1:$A$1001,customers!$F$1:$F$1001,0)</f>
        <v>Stradbally</v>
      </c>
    </row>
    <row r="749" ht="15.75" customHeight="1">
      <c r="A749" s="1" t="s">
        <v>1465</v>
      </c>
      <c r="B749" s="2">
        <v>43501.0</v>
      </c>
      <c r="C749" s="1" t="s">
        <v>1466</v>
      </c>
      <c r="D749" s="3" t="s">
        <v>91</v>
      </c>
      <c r="E749" s="1">
        <v>4.0</v>
      </c>
      <c r="F749" s="1" t="str">
        <f t="array" ref="F749">XLOOKUP(C749,customers!A748:A1748, customers!B748:B1748,0)</f>
        <v>Teddi Quadri</v>
      </c>
      <c r="G749" s="1" t="str">
        <f t="array" ref="G749">IF(XLOOKUP(C750,customers!$A$1:$A$1001,customers!$C$1:$C$1001,0)=0,"",XLOOKUP(C750,customers!$A$1:$A$1001,customers!$C$1:$C$1001,0))</f>
        <v>feshmadeks@umn.edu</v>
      </c>
      <c r="H749" s="1" t="str">
        <f t="array" ref="H749">XLOOKUP(C749,customers!$A$1:$A$1001,customers!$F$1:$F$1001,0)</f>
        <v>Ballina</v>
      </c>
    </row>
    <row r="750" ht="15.75" customHeight="1">
      <c r="A750" s="1" t="s">
        <v>1467</v>
      </c>
      <c r="B750" s="2">
        <v>44074.0</v>
      </c>
      <c r="C750" s="1" t="s">
        <v>1468</v>
      </c>
      <c r="D750" s="3" t="s">
        <v>29</v>
      </c>
      <c r="E750" s="1">
        <v>2.0</v>
      </c>
      <c r="F750" s="1" t="str">
        <f t="array" ref="F750">XLOOKUP(C750,customers!A749:A1749, customers!B749:B1749,0)</f>
        <v>Felita Eshmade</v>
      </c>
      <c r="G750" s="1" t="str">
        <f t="array" ref="G750">IF(XLOOKUP(C751,customers!$A$1:$A$1001,customers!$C$1:$C$1001,0)=0,"",XLOOKUP(C751,customers!$A$1:$A$1001,customers!$C$1:$C$1001,0))</f>
        <v>moilierkt@paginegialle.it</v>
      </c>
      <c r="H750" s="1" t="str">
        <f t="array" ref="H750">XLOOKUP(C750,customers!$A$1:$A$1001,customers!$F$1:$F$1001,0)</f>
        <v>Richmond</v>
      </c>
    </row>
    <row r="751" ht="15.75" customHeight="1">
      <c r="A751" s="1" t="s">
        <v>1469</v>
      </c>
      <c r="B751" s="2">
        <v>44209.0</v>
      </c>
      <c r="C751" s="1" t="s">
        <v>1470</v>
      </c>
      <c r="D751" s="3" t="s">
        <v>114</v>
      </c>
      <c r="E751" s="1">
        <v>2.0</v>
      </c>
      <c r="F751" s="1" t="str">
        <f t="array" ref="F751">XLOOKUP(C751,customers!A750:A1750, customers!B750:B1750,0)</f>
        <v>Melodie OIlier</v>
      </c>
      <c r="G751" s="1" t="str">
        <f t="array" ref="G751">IF(XLOOKUP(C752,customers!$A$1:$A$1001,customers!$C$1:$C$1001,0)=0,"",XLOOKUP(C752,customers!$A$1:$A$1001,customers!$C$1:$C$1001,0))</f>
        <v/>
      </c>
      <c r="H751" s="1" t="str">
        <f t="array" ref="H751">XLOOKUP(C751,customers!$A$1:$A$1001,customers!$F$1:$F$1001,0)</f>
        <v>Glasnevin</v>
      </c>
    </row>
    <row r="752" ht="15.75" customHeight="1">
      <c r="A752" s="1" t="s">
        <v>1471</v>
      </c>
      <c r="B752" s="2">
        <v>44277.0</v>
      </c>
      <c r="C752" s="1" t="s">
        <v>1472</v>
      </c>
      <c r="D752" s="3" t="s">
        <v>35</v>
      </c>
      <c r="E752" s="1">
        <v>1.0</v>
      </c>
      <c r="F752" s="1" t="str">
        <f t="array" ref="F752">XLOOKUP(C752,customers!A751:A1751, customers!B751:B1751,0)</f>
        <v>Hazel Iacopini</v>
      </c>
      <c r="G752" s="1" t="str">
        <f t="array" ref="G752">IF(XLOOKUP(C753,customers!$A$1:$A$1001,customers!$C$1:$C$1001,0)=0,"",XLOOKUP(C753,customers!$A$1:$A$1001,customers!$C$1:$C$1001,0))</f>
        <v>vshoebothamkv@redcross.org</v>
      </c>
      <c r="H752" s="1" t="str">
        <f t="array" ref="H752">XLOOKUP(C752,customers!$A$1:$A$1001,customers!$F$1:$F$1001,0)</f>
        <v>Fort Worth</v>
      </c>
    </row>
    <row r="753" ht="15.75" customHeight="1">
      <c r="A753" s="1" t="s">
        <v>1473</v>
      </c>
      <c r="B753" s="2">
        <v>43847.0</v>
      </c>
      <c r="C753" s="1" t="s">
        <v>1474</v>
      </c>
      <c r="D753" s="3" t="s">
        <v>96</v>
      </c>
      <c r="E753" s="1">
        <v>2.0</v>
      </c>
      <c r="F753" s="1" t="str">
        <f t="array" ref="F753">XLOOKUP(C753,customers!A752:A1752, customers!B752:B1752,0)</f>
        <v>Vinny Shoebotham</v>
      </c>
      <c r="G753" s="1" t="str">
        <f t="array" ref="G753">IF(XLOOKUP(C754,customers!$A$1:$A$1001,customers!$C$1:$C$1001,0)=0,"",XLOOKUP(C754,customers!$A$1:$A$1001,customers!$C$1:$C$1001,0))</f>
        <v>bsterkekw@biblegateway.com</v>
      </c>
      <c r="H753" s="1" t="str">
        <f t="array" ref="H753">XLOOKUP(C753,customers!$A$1:$A$1001,customers!$F$1:$F$1001,0)</f>
        <v>Brooklyn</v>
      </c>
    </row>
    <row r="754" ht="15.75" customHeight="1">
      <c r="A754" s="1" t="s">
        <v>1475</v>
      </c>
      <c r="B754" s="2">
        <v>43648.0</v>
      </c>
      <c r="C754" s="1" t="s">
        <v>1476</v>
      </c>
      <c r="D754" s="3" t="s">
        <v>22</v>
      </c>
      <c r="E754" s="1">
        <v>2.0</v>
      </c>
      <c r="F754" s="1" t="str">
        <f t="array" ref="F754">XLOOKUP(C754,customers!A753:A1753, customers!B753:B1753,0)</f>
        <v>Bran Sterke</v>
      </c>
      <c r="G754" s="1" t="str">
        <f t="array" ref="G754">IF(XLOOKUP(C755,customers!$A$1:$A$1001,customers!$C$1:$C$1001,0)=0,"",XLOOKUP(C755,customers!$A$1:$A$1001,customers!$C$1:$C$1001,0))</f>
        <v>scaponkx@craigslist.org</v>
      </c>
      <c r="H754" s="1" t="str">
        <f t="array" ref="H754">XLOOKUP(C754,customers!$A$1:$A$1001,customers!$F$1:$F$1001,0)</f>
        <v>Fort Worth</v>
      </c>
    </row>
    <row r="755" ht="15.75" customHeight="1">
      <c r="A755" s="1" t="s">
        <v>1477</v>
      </c>
      <c r="B755" s="2">
        <v>44704.0</v>
      </c>
      <c r="C755" s="1" t="s">
        <v>1478</v>
      </c>
      <c r="D755" s="3" t="s">
        <v>85</v>
      </c>
      <c r="E755" s="1">
        <v>5.0</v>
      </c>
      <c r="F755" s="1" t="str">
        <f t="array" ref="F755">XLOOKUP(C755,customers!A754:A1754, customers!B754:B1754,0)</f>
        <v>Simone Capon</v>
      </c>
      <c r="G755" s="1" t="str">
        <f t="array" ref="G755">IF(XLOOKUP(C756,customers!$A$1:$A$1001,customers!$C$1:$C$1001,0)=0,"",XLOOKUP(C756,customers!$A$1:$A$1001,customers!$C$1:$C$1001,0))</f>
        <v>jdymokeje@prnewswire.com</v>
      </c>
      <c r="H755" s="1" t="str">
        <f t="array" ref="H755">XLOOKUP(C755,customers!$A$1:$A$1001,customers!$F$1:$F$1001,0)</f>
        <v>Phoenix</v>
      </c>
    </row>
    <row r="756" ht="15.75" customHeight="1">
      <c r="A756" s="1" t="s">
        <v>1479</v>
      </c>
      <c r="B756" s="2">
        <v>44726.0</v>
      </c>
      <c r="C756" s="1" t="s">
        <v>1357</v>
      </c>
      <c r="D756" s="3" t="s">
        <v>67</v>
      </c>
      <c r="E756" s="1">
        <v>6.0</v>
      </c>
      <c r="F756" s="1">
        <f t="array" ref="F756">XLOOKUP(C756,customers!A755:A1755, customers!B755:B1755,0)</f>
        <v>0</v>
      </c>
      <c r="G756" s="1" t="str">
        <f t="array" ref="G756">IF(XLOOKUP(C757,customers!$A$1:$A$1001,customers!$C$1:$C$1001,0)=0,"",XLOOKUP(C757,customers!$A$1:$A$1001,customers!$C$1:$C$1001,0))</f>
        <v>fconstancekz@ifeng.com</v>
      </c>
      <c r="H756" s="1" t="str">
        <f t="array" ref="H756">XLOOKUP(C756,customers!$A$1:$A$1001,customers!$F$1:$F$1001,0)</f>
        <v>Beaumont</v>
      </c>
    </row>
    <row r="757" ht="15.75" customHeight="1">
      <c r="A757" s="1" t="s">
        <v>1480</v>
      </c>
      <c r="B757" s="2">
        <v>44397.0</v>
      </c>
      <c r="C757" s="1" t="s">
        <v>1481</v>
      </c>
      <c r="D757" s="3" t="s">
        <v>32</v>
      </c>
      <c r="E757" s="1">
        <v>6.0</v>
      </c>
      <c r="F757" s="1" t="str">
        <f t="array" ref="F757">XLOOKUP(C757,customers!A756:A1756, customers!B756:B1756,0)</f>
        <v>Foster Constance</v>
      </c>
      <c r="G757" s="1" t="str">
        <f t="array" ref="G757">IF(XLOOKUP(C758,customers!$A$1:$A$1001,customers!$C$1:$C$1001,0)=0,"",XLOOKUP(C758,customers!$A$1:$A$1001,customers!$C$1:$C$1001,0))</f>
        <v>fsulmanl0@washington.edu</v>
      </c>
      <c r="H757" s="1" t="str">
        <f t="array" ref="H757">XLOOKUP(C757,customers!$A$1:$A$1001,customers!$F$1:$F$1001,0)</f>
        <v>Dallas</v>
      </c>
    </row>
    <row r="758" ht="15.75" customHeight="1">
      <c r="A758" s="1" t="s">
        <v>1482</v>
      </c>
      <c r="B758" s="2">
        <v>44715.0</v>
      </c>
      <c r="C758" s="1" t="s">
        <v>1483</v>
      </c>
      <c r="D758" s="3" t="s">
        <v>192</v>
      </c>
      <c r="E758" s="1">
        <v>4.0</v>
      </c>
      <c r="F758" s="1" t="str">
        <f t="array" ref="F758">XLOOKUP(C758,customers!A757:A1757, customers!B757:B1757,0)</f>
        <v>Fernando Sulman</v>
      </c>
      <c r="G758" s="1" t="str">
        <f t="array" ref="G758">IF(XLOOKUP(C759,customers!$A$1:$A$1001,customers!$C$1:$C$1001,0)=0,"",XLOOKUP(C759,customers!$A$1:$A$1001,customers!$C$1:$C$1001,0))</f>
        <v>dhollymanl1@ibm.com</v>
      </c>
      <c r="H758" s="1" t="str">
        <f t="array" ref="H758">XLOOKUP(C758,customers!$A$1:$A$1001,customers!$F$1:$F$1001,0)</f>
        <v>Asheville</v>
      </c>
    </row>
    <row r="759" ht="15.75" customHeight="1">
      <c r="A759" s="1" t="s">
        <v>1484</v>
      </c>
      <c r="B759" s="2">
        <v>43977.0</v>
      </c>
      <c r="C759" s="1" t="s">
        <v>1485</v>
      </c>
      <c r="D759" s="3" t="s">
        <v>85</v>
      </c>
      <c r="E759" s="1">
        <v>3.0</v>
      </c>
      <c r="F759" s="1" t="str">
        <f t="array" ref="F759">XLOOKUP(C759,customers!A758:A1758, customers!B758:B1758,0)</f>
        <v>Dorotea Hollyman</v>
      </c>
      <c r="G759" s="1" t="str">
        <f t="array" ref="G759">IF(XLOOKUP(C760,customers!$A$1:$A$1001,customers!$C$1:$C$1001,0)=0,"",XLOOKUP(C760,customers!$A$1:$A$1001,customers!$C$1:$C$1001,0))</f>
        <v>lnardonil2@hao123.com</v>
      </c>
      <c r="H759" s="1" t="str">
        <f t="array" ref="H759">XLOOKUP(C759,customers!$A$1:$A$1001,customers!$F$1:$F$1001,0)</f>
        <v>Billings</v>
      </c>
    </row>
    <row r="760" ht="15.75" customHeight="1">
      <c r="A760" s="1" t="s">
        <v>1486</v>
      </c>
      <c r="B760" s="2">
        <v>43672.0</v>
      </c>
      <c r="C760" s="1" t="s">
        <v>1487</v>
      </c>
      <c r="D760" s="3" t="s">
        <v>192</v>
      </c>
      <c r="E760" s="1">
        <v>1.0</v>
      </c>
      <c r="F760" s="1" t="str">
        <f t="array" ref="F760">XLOOKUP(C760,customers!A759:A1759, customers!B759:B1759,0)</f>
        <v>Lorelei Nardoni</v>
      </c>
      <c r="G760" s="1" t="str">
        <f t="array" ref="G760">IF(XLOOKUP(C761,customers!$A$1:$A$1001,customers!$C$1:$C$1001,0)=0,"",XLOOKUP(C761,customers!$A$1:$A$1001,customers!$C$1:$C$1001,0))</f>
        <v>dyarhaml3@moonfruit.com</v>
      </c>
      <c r="H760" s="1" t="str">
        <f t="array" ref="H760">XLOOKUP(C760,customers!$A$1:$A$1001,customers!$F$1:$F$1001,0)</f>
        <v>Saint Louis</v>
      </c>
    </row>
    <row r="761" ht="15.75" customHeight="1">
      <c r="A761" s="1" t="s">
        <v>1488</v>
      </c>
      <c r="B761" s="2">
        <v>44126.0</v>
      </c>
      <c r="C761" s="1" t="s">
        <v>1489</v>
      </c>
      <c r="D761" s="3" t="s">
        <v>122</v>
      </c>
      <c r="E761" s="1">
        <v>1.0</v>
      </c>
      <c r="F761" s="1" t="str">
        <f t="array" ref="F761">XLOOKUP(C761,customers!A760:A1760, customers!B760:B1760,0)</f>
        <v>Dallas Yarham</v>
      </c>
      <c r="G761" s="1" t="str">
        <f t="array" ref="G761">IF(XLOOKUP(C762,customers!$A$1:$A$1001,customers!$C$1:$C$1001,0)=0,"",XLOOKUP(C762,customers!$A$1:$A$1001,customers!$C$1:$C$1001,0))</f>
        <v>aferreal4@wikia.com</v>
      </c>
      <c r="H761" s="1" t="str">
        <f t="array" ref="H761">XLOOKUP(C761,customers!$A$1:$A$1001,customers!$F$1:$F$1001,0)</f>
        <v>Independence</v>
      </c>
    </row>
    <row r="762" ht="15.75" customHeight="1">
      <c r="A762" s="1" t="s">
        <v>1490</v>
      </c>
      <c r="B762" s="2">
        <v>44189.0</v>
      </c>
      <c r="C762" s="1" t="s">
        <v>1491</v>
      </c>
      <c r="D762" s="3" t="s">
        <v>189</v>
      </c>
      <c r="E762" s="1">
        <v>5.0</v>
      </c>
      <c r="F762" s="1" t="str">
        <f t="array" ref="F762">XLOOKUP(C762,customers!A761:A1761, customers!B761:B1761,0)</f>
        <v>Arlana Ferrea</v>
      </c>
      <c r="G762" s="1" t="str">
        <f t="array" ref="G762">IF(XLOOKUP(C763,customers!$A$1:$A$1001,customers!$C$1:$C$1001,0)=0,"",XLOOKUP(C763,customers!$A$1:$A$1001,customers!$C$1:$C$1001,0))</f>
        <v>ckendrickl5@webnode.com</v>
      </c>
      <c r="H762" s="1" t="str">
        <f t="array" ref="H762">XLOOKUP(C762,customers!$A$1:$A$1001,customers!$F$1:$F$1001,0)</f>
        <v>Greensboro</v>
      </c>
    </row>
    <row r="763" ht="15.75" customHeight="1">
      <c r="A763" s="1" t="s">
        <v>1492</v>
      </c>
      <c r="B763" s="2">
        <v>43714.0</v>
      </c>
      <c r="C763" s="1" t="s">
        <v>1493</v>
      </c>
      <c r="D763" s="3" t="s">
        <v>150</v>
      </c>
      <c r="E763" s="1">
        <v>6.0</v>
      </c>
      <c r="F763" s="1" t="str">
        <f t="array" ref="F763">XLOOKUP(C763,customers!A762:A1762, customers!B762:B1762,0)</f>
        <v>Chuck Kendrick</v>
      </c>
      <c r="G763" s="1" t="str">
        <f t="array" ref="G763">IF(XLOOKUP(C764,customers!$A$1:$A$1001,customers!$C$1:$C$1001,0)=0,"",XLOOKUP(C764,customers!$A$1:$A$1001,customers!$C$1:$C$1001,0))</f>
        <v>sdanilchikl6@mit.edu</v>
      </c>
      <c r="H763" s="1" t="str">
        <f t="array" ref="H763">XLOOKUP(C763,customers!$A$1:$A$1001,customers!$F$1:$F$1001,0)</f>
        <v>Monroe</v>
      </c>
    </row>
    <row r="764" ht="15.75" customHeight="1">
      <c r="A764" s="1" t="s">
        <v>1494</v>
      </c>
      <c r="B764" s="2">
        <v>43563.0</v>
      </c>
      <c r="C764" s="1" t="s">
        <v>1495</v>
      </c>
      <c r="D764" s="3" t="s">
        <v>91</v>
      </c>
      <c r="E764" s="1">
        <v>5.0</v>
      </c>
      <c r="F764" s="1" t="str">
        <f t="array" ref="F764">XLOOKUP(C764,customers!A763:A1763, customers!B763:B1763,0)</f>
        <v>Sharona Danilchik</v>
      </c>
      <c r="G764" s="1" t="str">
        <f t="array" ref="G764">IF(XLOOKUP(C765,customers!$A$1:$A$1001,customers!$C$1:$C$1001,0)=0,"",XLOOKUP(C765,customers!$A$1:$A$1001,customers!$C$1:$C$1001,0))</f>
        <v/>
      </c>
      <c r="H764" s="1" t="str">
        <f t="array" ref="H764">XLOOKUP(C764,customers!$A$1:$A$1001,customers!$F$1:$F$1001,0)</f>
        <v>Halton</v>
      </c>
    </row>
    <row r="765" ht="15.75" customHeight="1">
      <c r="A765" s="1" t="s">
        <v>1496</v>
      </c>
      <c r="B765" s="2">
        <v>44587.0</v>
      </c>
      <c r="C765" s="1" t="s">
        <v>1497</v>
      </c>
      <c r="D765" s="3" t="s">
        <v>205</v>
      </c>
      <c r="E765" s="1">
        <v>3.0</v>
      </c>
      <c r="F765" s="1" t="str">
        <f t="array" ref="F765">XLOOKUP(C765,customers!A764:A1764, customers!B764:B1764,0)</f>
        <v>Sarajane Potter</v>
      </c>
      <c r="G765" s="1" t="str">
        <f t="array" ref="G765">IF(XLOOKUP(C766,customers!$A$1:$A$1001,customers!$C$1:$C$1001,0)=0,"",XLOOKUP(C766,customers!$A$1:$A$1001,customers!$C$1:$C$1001,0))</f>
        <v>bfolomkinl8@yolasite.com</v>
      </c>
      <c r="H765" s="1" t="str">
        <f t="array" ref="H765">XLOOKUP(C765,customers!$A$1:$A$1001,customers!$F$1:$F$1001,0)</f>
        <v>Fort Worth</v>
      </c>
    </row>
    <row r="766" ht="15.75" customHeight="1">
      <c r="A766" s="1" t="s">
        <v>1498</v>
      </c>
      <c r="B766" s="2">
        <v>43797.0</v>
      </c>
      <c r="C766" s="1" t="s">
        <v>1499</v>
      </c>
      <c r="D766" s="3" t="s">
        <v>217</v>
      </c>
      <c r="E766" s="1">
        <v>6.0</v>
      </c>
      <c r="F766" s="1" t="str">
        <f t="array" ref="F766">XLOOKUP(C766,customers!A765:A1765, customers!B765:B1765,0)</f>
        <v>Bobby Folomkin</v>
      </c>
      <c r="G766" s="1" t="str">
        <f t="array" ref="G766">IF(XLOOKUP(C767,customers!$A$1:$A$1001,customers!$C$1:$C$1001,0)=0,"",XLOOKUP(C767,customers!$A$1:$A$1001,customers!$C$1:$C$1001,0))</f>
        <v>rpursglovel9@biblegateway.com</v>
      </c>
      <c r="H766" s="1" t="str">
        <f t="array" ref="H766">XLOOKUP(C766,customers!$A$1:$A$1001,customers!$F$1:$F$1001,0)</f>
        <v>Fargo</v>
      </c>
    </row>
    <row r="767" ht="15.75" customHeight="1">
      <c r="A767" s="1" t="s">
        <v>1500</v>
      </c>
      <c r="B767" s="2">
        <v>43667.0</v>
      </c>
      <c r="C767" s="1" t="s">
        <v>1501</v>
      </c>
      <c r="D767" s="3" t="s">
        <v>15</v>
      </c>
      <c r="E767" s="1">
        <v>6.0</v>
      </c>
      <c r="F767" s="1" t="str">
        <f t="array" ref="F767">XLOOKUP(C767,customers!A766:A1766, customers!B766:B1766,0)</f>
        <v>Rafferty Pursglove</v>
      </c>
      <c r="G767" s="1" t="str">
        <f t="array" ref="G767">IF(XLOOKUP(C768,customers!$A$1:$A$1001,customers!$C$1:$C$1001,0)=0,"",XLOOKUP(C768,customers!$A$1:$A$1001,customers!$C$1:$C$1001,0))</f>
        <v>rpursglovel9@biblegateway.com</v>
      </c>
      <c r="H767" s="1" t="str">
        <f t="array" ref="H767">XLOOKUP(C767,customers!$A$1:$A$1001,customers!$F$1:$F$1001,0)</f>
        <v>Garland</v>
      </c>
    </row>
    <row r="768" ht="15.75" customHeight="1">
      <c r="A768" s="1" t="s">
        <v>1500</v>
      </c>
      <c r="B768" s="2">
        <v>43667.0</v>
      </c>
      <c r="C768" s="1" t="s">
        <v>1501</v>
      </c>
      <c r="D768" s="3" t="s">
        <v>205</v>
      </c>
      <c r="E768" s="1">
        <v>2.0</v>
      </c>
      <c r="F768" s="1" t="str">
        <f t="array" ref="F768">XLOOKUP(C768,customers!A767:A1767, customers!B767:B1767,0)</f>
        <v>Rafferty Pursglove</v>
      </c>
      <c r="G768" s="1" t="str">
        <f t="array" ref="G768">IF(XLOOKUP(C769,customers!$A$1:$A$1001,customers!$C$1:$C$1001,0)=0,"",XLOOKUP(C769,customers!$A$1:$A$1001,customers!$C$1:$C$1001,0))</f>
        <v>fconstancekz@ifeng.com</v>
      </c>
      <c r="H768" s="1" t="str">
        <f t="array" ref="H768">XLOOKUP(C768,customers!$A$1:$A$1001,customers!$F$1:$F$1001,0)</f>
        <v>Garland</v>
      </c>
    </row>
    <row r="769" ht="15.75" customHeight="1">
      <c r="A769" s="1" t="s">
        <v>1502</v>
      </c>
      <c r="B769" s="2">
        <v>44267.0</v>
      </c>
      <c r="C769" s="1" t="s">
        <v>1481</v>
      </c>
      <c r="D769" s="3" t="s">
        <v>217</v>
      </c>
      <c r="E769" s="1">
        <v>3.0</v>
      </c>
      <c r="F769" s="1">
        <f t="array" ref="F769">XLOOKUP(C769,customers!A768:A1768, customers!B768:B1768,0)</f>
        <v>0</v>
      </c>
      <c r="G769" s="1" t="str">
        <f t="array" ref="G769">IF(XLOOKUP(C770,customers!$A$1:$A$1001,customers!$C$1:$C$1001,0)=0,"",XLOOKUP(C770,customers!$A$1:$A$1001,customers!$C$1:$C$1001,0))</f>
        <v>fconstancekz@ifeng.com</v>
      </c>
      <c r="H769" s="1" t="str">
        <f t="array" ref="H769">XLOOKUP(C769,customers!$A$1:$A$1001,customers!$F$1:$F$1001,0)</f>
        <v>Dallas</v>
      </c>
    </row>
    <row r="770" ht="15.75" customHeight="1">
      <c r="A770" s="1" t="s">
        <v>1503</v>
      </c>
      <c r="B770" s="2">
        <v>44562.0</v>
      </c>
      <c r="C770" s="1" t="s">
        <v>1481</v>
      </c>
      <c r="D770" s="3" t="s">
        <v>202</v>
      </c>
      <c r="E770" s="1">
        <v>2.0</v>
      </c>
      <c r="F770" s="1">
        <f t="array" ref="F770">XLOOKUP(C770,customers!A769:A1769, customers!B769:B1769,0)</f>
        <v>0</v>
      </c>
      <c r="G770" s="1" t="str">
        <f t="array" ref="G770">IF(XLOOKUP(C771,customers!$A$1:$A$1001,customers!$C$1:$C$1001,0)=0,"",XLOOKUP(C771,customers!$A$1:$A$1001,customers!$C$1:$C$1001,0))</f>
        <v>deburahld@google.co.jp</v>
      </c>
      <c r="H770" s="1" t="str">
        <f t="array" ref="H770">XLOOKUP(C770,customers!$A$1:$A$1001,customers!$F$1:$F$1001,0)</f>
        <v>Dallas</v>
      </c>
    </row>
    <row r="771" ht="15.75" customHeight="1">
      <c r="A771" s="1" t="s">
        <v>1504</v>
      </c>
      <c r="B771" s="2">
        <v>43912.0</v>
      </c>
      <c r="C771" s="1" t="s">
        <v>1505</v>
      </c>
      <c r="D771" s="3" t="s">
        <v>54</v>
      </c>
      <c r="E771" s="1">
        <v>6.0</v>
      </c>
      <c r="F771" s="1" t="str">
        <f t="array" ref="F771">XLOOKUP(C771,customers!A770:A1770, customers!B770:B1770,0)</f>
        <v>Dalia Eburah</v>
      </c>
      <c r="G771" s="1" t="str">
        <f t="array" ref="G771">IF(XLOOKUP(C772,customers!$A$1:$A$1001,customers!$C$1:$C$1001,0)=0,"",XLOOKUP(C772,customers!$A$1:$A$1001,customers!$C$1:$C$1001,0))</f>
        <v>mbrimilcombele@cnn.com</v>
      </c>
      <c r="H771" s="1" t="str">
        <f t="array" ref="H771">XLOOKUP(C771,customers!$A$1:$A$1001,customers!$F$1:$F$1001,0)</f>
        <v>Birmingham</v>
      </c>
    </row>
    <row r="772" ht="15.75" customHeight="1">
      <c r="A772" s="1" t="s">
        <v>1506</v>
      </c>
      <c r="B772" s="2">
        <v>44092.0</v>
      </c>
      <c r="C772" s="1" t="s">
        <v>1507</v>
      </c>
      <c r="D772" s="3" t="s">
        <v>40</v>
      </c>
      <c r="E772" s="1">
        <v>1.0</v>
      </c>
      <c r="F772" s="1" t="str">
        <f t="array" ref="F772">XLOOKUP(C772,customers!A771:A1771, customers!B771:B1771,0)</f>
        <v>Martie Brimilcombe</v>
      </c>
      <c r="G772" s="1" t="str">
        <f t="array" ref="G772">IF(XLOOKUP(C773,customers!$A$1:$A$1001,customers!$C$1:$C$1001,0)=0,"",XLOOKUP(C773,customers!$A$1:$A$1001,customers!$C$1:$C$1001,0))</f>
        <v>sbollamlf@list-manage.com</v>
      </c>
      <c r="H772" s="1" t="str">
        <f t="array" ref="H772">XLOOKUP(C772,customers!$A$1:$A$1001,customers!$F$1:$F$1001,0)</f>
        <v>Springfield</v>
      </c>
    </row>
    <row r="773" ht="15.75" customHeight="1">
      <c r="A773" s="1" t="s">
        <v>1508</v>
      </c>
      <c r="B773" s="2">
        <v>43468.0</v>
      </c>
      <c r="C773" s="1" t="s">
        <v>1509</v>
      </c>
      <c r="D773" s="3" t="s">
        <v>170</v>
      </c>
      <c r="E773" s="1">
        <v>3.0</v>
      </c>
      <c r="F773" s="1" t="str">
        <f t="array" ref="F773">XLOOKUP(C773,customers!A772:A1772, customers!B772:B1772,0)</f>
        <v>Suzanna Bollam</v>
      </c>
      <c r="G773" s="1" t="str">
        <f t="array" ref="G773">IF(XLOOKUP(C774,customers!$A$1:$A$1001,customers!$C$1:$C$1001,0)=0,"",XLOOKUP(C774,customers!$A$1:$A$1001,customers!$C$1:$C$1001,0))</f>
        <v/>
      </c>
      <c r="H773" s="1" t="str">
        <f t="array" ref="H773">XLOOKUP(C773,customers!$A$1:$A$1001,customers!$F$1:$F$1001,0)</f>
        <v>Littleton</v>
      </c>
    </row>
    <row r="774" ht="15.75" customHeight="1">
      <c r="A774" s="1" t="s">
        <v>1510</v>
      </c>
      <c r="B774" s="2">
        <v>44468.0</v>
      </c>
      <c r="C774" s="1" t="s">
        <v>1511</v>
      </c>
      <c r="D774" s="3" t="s">
        <v>22</v>
      </c>
      <c r="E774" s="1">
        <v>6.0</v>
      </c>
      <c r="F774" s="1" t="str">
        <f t="array" ref="F774">XLOOKUP(C774,customers!A773:A1773, customers!B773:B1773,0)</f>
        <v>Mellisa Mebes</v>
      </c>
      <c r="G774" s="1" t="str">
        <f t="array" ref="G774">IF(XLOOKUP(C775,customers!$A$1:$A$1001,customers!$C$1:$C$1001,0)=0,"",XLOOKUP(C775,customers!$A$1:$A$1001,customers!$C$1:$C$1001,0))</f>
        <v>afilipczaklh@ning.com</v>
      </c>
      <c r="H774" s="1" t="str">
        <f t="array" ref="H774">XLOOKUP(C774,customers!$A$1:$A$1001,customers!$F$1:$F$1001,0)</f>
        <v>Baltimore</v>
      </c>
    </row>
    <row r="775" ht="15.75" customHeight="1">
      <c r="A775" s="1" t="s">
        <v>1512</v>
      </c>
      <c r="B775" s="2">
        <v>44488.0</v>
      </c>
      <c r="C775" s="1" t="s">
        <v>1513</v>
      </c>
      <c r="D775" s="3" t="s">
        <v>90</v>
      </c>
      <c r="E775" s="1">
        <v>2.0</v>
      </c>
      <c r="F775" s="1" t="str">
        <f t="array" ref="F775">XLOOKUP(C775,customers!A774:A1774, customers!B774:B1774,0)</f>
        <v>Alva Filipczak</v>
      </c>
      <c r="G775" s="1" t="str">
        <f t="array" ref="G775">IF(XLOOKUP(C776,customers!$A$1:$A$1001,customers!$C$1:$C$1001,0)=0,"",XLOOKUP(C776,customers!$A$1:$A$1001,customers!$C$1:$C$1001,0))</f>
        <v/>
      </c>
      <c r="H775" s="1" t="str">
        <f t="array" ref="H775">XLOOKUP(C775,customers!$A$1:$A$1001,customers!$F$1:$F$1001,0)</f>
        <v>Moycullen</v>
      </c>
    </row>
    <row r="776" ht="15.75" customHeight="1">
      <c r="A776" s="1" t="s">
        <v>1514</v>
      </c>
      <c r="B776" s="2">
        <v>44756.0</v>
      </c>
      <c r="C776" s="1" t="s">
        <v>1515</v>
      </c>
      <c r="D776" s="3" t="s">
        <v>15</v>
      </c>
      <c r="E776" s="1">
        <v>2.0</v>
      </c>
      <c r="F776" s="1" t="str">
        <f t="array" ref="F776">XLOOKUP(C776,customers!A775:A1775, customers!B775:B1775,0)</f>
        <v>Dorette Hinemoor</v>
      </c>
      <c r="G776" s="1" t="str">
        <f t="array" ref="G776">IF(XLOOKUP(C777,customers!$A$1:$A$1001,customers!$C$1:$C$1001,0)=0,"",XLOOKUP(C777,customers!$A$1:$A$1001,customers!$C$1:$C$1001,0))</f>
        <v>relnaughlj@comsenz.com</v>
      </c>
      <c r="H776" s="1" t="str">
        <f t="array" ref="H776">XLOOKUP(C776,customers!$A$1:$A$1001,customers!$F$1:$F$1001,0)</f>
        <v>Fort Lauderdale</v>
      </c>
    </row>
    <row r="777" ht="15.75" customHeight="1">
      <c r="A777" s="1" t="s">
        <v>1516</v>
      </c>
      <c r="B777" s="2">
        <v>44396.0</v>
      </c>
      <c r="C777" s="1" t="s">
        <v>1517</v>
      </c>
      <c r="D777" s="3" t="s">
        <v>189</v>
      </c>
      <c r="E777" s="1">
        <v>2.0</v>
      </c>
      <c r="F777" s="1" t="str">
        <f t="array" ref="F777">XLOOKUP(C777,customers!A776:A1776, customers!B776:B1776,0)</f>
        <v>Rhetta Elnaugh</v>
      </c>
      <c r="G777" s="1" t="str">
        <f t="array" ref="G777">IF(XLOOKUP(C778,customers!$A$1:$A$1001,customers!$C$1:$C$1001,0)=0,"",XLOOKUP(C778,customers!$A$1:$A$1001,customers!$C$1:$C$1001,0))</f>
        <v>jdeehanlk@about.me</v>
      </c>
      <c r="H777" s="1" t="str">
        <f t="array" ref="H777">XLOOKUP(C777,customers!$A$1:$A$1001,customers!$F$1:$F$1001,0)</f>
        <v>San Diego</v>
      </c>
    </row>
    <row r="778" ht="15.75" customHeight="1">
      <c r="A778" s="1" t="s">
        <v>1518</v>
      </c>
      <c r="B778" s="2">
        <v>44540.0</v>
      </c>
      <c r="C778" s="1" t="s">
        <v>1519</v>
      </c>
      <c r="D778" s="3" t="s">
        <v>80</v>
      </c>
      <c r="E778" s="1">
        <v>3.0</v>
      </c>
      <c r="F778" s="1" t="str">
        <f t="array" ref="F778">XLOOKUP(C778,customers!A777:A1777, customers!B777:B1777,0)</f>
        <v>Jule Deehan</v>
      </c>
      <c r="G778" s="1" t="str">
        <f t="array" ref="G778">IF(XLOOKUP(C779,customers!$A$1:$A$1001,customers!$C$1:$C$1001,0)=0,"",XLOOKUP(C779,customers!$A$1:$A$1001,customers!$C$1:$C$1001,0))</f>
        <v>jedenll@e-recht24.de</v>
      </c>
      <c r="H778" s="1" t="str">
        <f t="array" ref="H778">XLOOKUP(C778,customers!$A$1:$A$1001,customers!$F$1:$F$1001,0)</f>
        <v>Dallas</v>
      </c>
    </row>
    <row r="779" ht="15.75" customHeight="1">
      <c r="A779" s="1" t="s">
        <v>1520</v>
      </c>
      <c r="B779" s="2">
        <v>43541.0</v>
      </c>
      <c r="C779" s="1" t="s">
        <v>1521</v>
      </c>
      <c r="D779" s="3" t="s">
        <v>217</v>
      </c>
      <c r="E779" s="1">
        <v>2.0</v>
      </c>
      <c r="F779" s="1" t="str">
        <f t="array" ref="F779">XLOOKUP(C779,customers!A778:A1778, customers!B778:B1778,0)</f>
        <v>Janella Eden</v>
      </c>
      <c r="G779" s="1" t="str">
        <f t="array" ref="G779">IF(XLOOKUP(C780,customers!$A$1:$A$1001,customers!$C$1:$C$1001,0)=0,"",XLOOKUP(C780,customers!$A$1:$A$1001,customers!$C$1:$C$1001,0))</f>
        <v>cjewsterlu@moonfruit.com</v>
      </c>
      <c r="H779" s="1" t="str">
        <f t="array" ref="H779">XLOOKUP(C779,customers!$A$1:$A$1001,customers!$F$1:$F$1001,0)</f>
        <v>Joliet</v>
      </c>
    </row>
    <row r="780" ht="15.75" customHeight="1">
      <c r="A780" s="1" t="s">
        <v>1522</v>
      </c>
      <c r="B780" s="2">
        <v>43889.0</v>
      </c>
      <c r="C780" s="1" t="s">
        <v>1523</v>
      </c>
      <c r="D780" s="3" t="s">
        <v>96</v>
      </c>
      <c r="E780" s="1">
        <v>2.0</v>
      </c>
      <c r="F780" s="1" t="str">
        <f t="array" ref="F780">XLOOKUP(C780,customers!A779:A1779, customers!B779:B1779,0)</f>
        <v>Cam Jewster</v>
      </c>
      <c r="G780" s="1" t="str">
        <f t="array" ref="G780">IF(XLOOKUP(C781,customers!$A$1:$A$1001,customers!$C$1:$C$1001,0)=0,"",XLOOKUP(C781,customers!$A$1:$A$1001,customers!$C$1:$C$1001,0))</f>
        <v>usoutherdenln@hao123.com</v>
      </c>
      <c r="H780" s="1" t="str">
        <f t="array" ref="H780">XLOOKUP(C780,customers!$A$1:$A$1001,customers!$F$1:$F$1001,0)</f>
        <v>Dayton</v>
      </c>
    </row>
    <row r="781" ht="15.75" customHeight="1">
      <c r="A781" s="1" t="s">
        <v>1524</v>
      </c>
      <c r="B781" s="2">
        <v>43985.0</v>
      </c>
      <c r="C781" s="1" t="s">
        <v>1525</v>
      </c>
      <c r="D781" s="3" t="s">
        <v>26</v>
      </c>
      <c r="E781" s="1">
        <v>6.0</v>
      </c>
      <c r="F781" s="1" t="str">
        <f t="array" ref="F781">XLOOKUP(C781,customers!A780:A1780, customers!B780:B1780,0)</f>
        <v>Ugo Southerden</v>
      </c>
      <c r="G781" s="1" t="str">
        <f t="array" ref="G781">IF(XLOOKUP(C782,customers!$A$1:$A$1001,customers!$C$1:$C$1001,0)=0,"",XLOOKUP(C782,customers!$A$1:$A$1001,customers!$C$1:$C$1001,0))</f>
        <v/>
      </c>
      <c r="H781" s="1" t="str">
        <f t="array" ref="H781">XLOOKUP(C781,customers!$A$1:$A$1001,customers!$F$1:$F$1001,0)</f>
        <v>Clearwater</v>
      </c>
    </row>
    <row r="782" ht="15.75" customHeight="1">
      <c r="A782" s="1" t="s">
        <v>1526</v>
      </c>
      <c r="B782" s="2">
        <v>43883.0</v>
      </c>
      <c r="C782" s="1" t="s">
        <v>1527</v>
      </c>
      <c r="D782" s="3" t="s">
        <v>22</v>
      </c>
      <c r="E782" s="1">
        <v>3.0</v>
      </c>
      <c r="F782" s="1" t="str">
        <f t="array" ref="F782">XLOOKUP(C782,customers!A781:A1781, customers!B781:B1781,0)</f>
        <v>Verne Dunkerley</v>
      </c>
      <c r="G782" s="1" t="str">
        <f t="array" ref="G782">IF(XLOOKUP(C783,customers!$A$1:$A$1001,customers!$C$1:$C$1001,0)=0,"",XLOOKUP(C783,customers!$A$1:$A$1001,customers!$C$1:$C$1001,0))</f>
        <v>lburtenshawlp@shinystat.com</v>
      </c>
      <c r="H782" s="1" t="str">
        <f t="array" ref="H782">XLOOKUP(C782,customers!$A$1:$A$1001,customers!$F$1:$F$1001,0)</f>
        <v>Minneapolis</v>
      </c>
    </row>
    <row r="783" ht="15.75" customHeight="1">
      <c r="A783" s="1" t="s">
        <v>1528</v>
      </c>
      <c r="B783" s="2">
        <v>43778.0</v>
      </c>
      <c r="C783" s="1" t="s">
        <v>1529</v>
      </c>
      <c r="D783" s="3" t="s">
        <v>117</v>
      </c>
      <c r="E783" s="1">
        <v>4.0</v>
      </c>
      <c r="F783" s="1" t="str">
        <f t="array" ref="F783">XLOOKUP(C783,customers!A782:A1782, customers!B782:B1782,0)</f>
        <v>Lacee Burtenshaw</v>
      </c>
      <c r="G783" s="1" t="str">
        <f t="array" ref="G783">IF(XLOOKUP(C784,customers!$A$1:$A$1001,customers!$C$1:$C$1001,0)=0,"",XLOOKUP(C784,customers!$A$1:$A$1001,customers!$C$1:$C$1001,0))</f>
        <v>agregorattilq@vistaprint.com</v>
      </c>
      <c r="H783" s="1" t="str">
        <f t="array" ref="H783">XLOOKUP(C783,customers!$A$1:$A$1001,customers!$F$1:$F$1001,0)</f>
        <v>Lawrenceville</v>
      </c>
    </row>
    <row r="784" ht="15.75" customHeight="1">
      <c r="A784" s="1" t="s">
        <v>1530</v>
      </c>
      <c r="B784" s="2">
        <v>43897.0</v>
      </c>
      <c r="C784" s="1" t="s">
        <v>1531</v>
      </c>
      <c r="D784" s="3" t="s">
        <v>267</v>
      </c>
      <c r="E784" s="1">
        <v>6.0</v>
      </c>
      <c r="F784" s="1" t="str">
        <f t="array" ref="F784">XLOOKUP(C784,customers!A783:A1783, customers!B783:B1783,0)</f>
        <v>Adorne Gregoratti</v>
      </c>
      <c r="G784" s="1" t="str">
        <f t="array" ref="G784">IF(XLOOKUP(C785,customers!$A$1:$A$1001,customers!$C$1:$C$1001,0)=0,"",XLOOKUP(C785,customers!$A$1:$A$1001,customers!$C$1:$C$1001,0))</f>
        <v>ccrosterlr@gov.uk</v>
      </c>
      <c r="H784" s="1" t="str">
        <f t="array" ref="H784">XLOOKUP(C784,customers!$A$1:$A$1001,customers!$F$1:$F$1001,0)</f>
        <v>Malahide</v>
      </c>
    </row>
    <row r="785" ht="15.75" customHeight="1">
      <c r="A785" s="1" t="s">
        <v>1532</v>
      </c>
      <c r="B785" s="2">
        <v>44312.0</v>
      </c>
      <c r="C785" s="1" t="s">
        <v>1533</v>
      </c>
      <c r="D785" s="3" t="s">
        <v>91</v>
      </c>
      <c r="E785" s="1">
        <v>5.0</v>
      </c>
      <c r="F785" s="1" t="str">
        <f t="array" ref="F785">XLOOKUP(C785,customers!A784:A1784, customers!B784:B1784,0)</f>
        <v>Chris Croster</v>
      </c>
      <c r="G785" s="1" t="str">
        <f t="array" ref="G785">IF(XLOOKUP(C786,customers!$A$1:$A$1001,customers!$C$1:$C$1001,0)=0,"",XLOOKUP(C786,customers!$A$1:$A$1001,customers!$C$1:$C$1001,0))</f>
        <v>gwhiteheadls@hp.com</v>
      </c>
      <c r="H785" s="1" t="str">
        <f t="array" ref="H785">XLOOKUP(C785,customers!$A$1:$A$1001,customers!$F$1:$F$1001,0)</f>
        <v>Tampa</v>
      </c>
    </row>
    <row r="786" ht="15.75" customHeight="1">
      <c r="A786" s="1" t="s">
        <v>1534</v>
      </c>
      <c r="B786" s="2">
        <v>44511.0</v>
      </c>
      <c r="C786" s="1" t="s">
        <v>1535</v>
      </c>
      <c r="D786" s="3" t="s">
        <v>145</v>
      </c>
      <c r="E786" s="1">
        <v>2.0</v>
      </c>
      <c r="F786" s="1" t="str">
        <f t="array" ref="F786">XLOOKUP(C786,customers!A785:A1785, customers!B785:B1785,0)</f>
        <v>Graeme Whitehead</v>
      </c>
      <c r="G786" s="1" t="str">
        <f t="array" ref="G786">IF(XLOOKUP(C787,customers!$A$1:$A$1001,customers!$C$1:$C$1001,0)=0,"",XLOOKUP(C787,customers!$A$1:$A$1001,customers!$C$1:$C$1001,0))</f>
        <v>hjodrellelt@samsung.com</v>
      </c>
      <c r="H786" s="1" t="str">
        <f t="array" ref="H786">XLOOKUP(C786,customers!$A$1:$A$1001,customers!$F$1:$F$1001,0)</f>
        <v>Nashville</v>
      </c>
    </row>
    <row r="787" ht="15.75" customHeight="1">
      <c r="A787" s="1" t="s">
        <v>1536</v>
      </c>
      <c r="B787" s="2">
        <v>44362.0</v>
      </c>
      <c r="C787" s="1" t="s">
        <v>1537</v>
      </c>
      <c r="D787" s="3" t="s">
        <v>131</v>
      </c>
      <c r="E787" s="1">
        <v>1.0</v>
      </c>
      <c r="F787" s="1" t="str">
        <f t="array" ref="F787">XLOOKUP(C787,customers!A786:A1786, customers!B786:B1786,0)</f>
        <v>Haslett Jodrelle</v>
      </c>
      <c r="G787" s="1" t="str">
        <f t="array" ref="G787">IF(XLOOKUP(C788,customers!$A$1:$A$1001,customers!$C$1:$C$1001,0)=0,"",XLOOKUP(C788,customers!$A$1:$A$1001,customers!$C$1:$C$1001,0))</f>
        <v>cjewsterlu@moonfruit.com</v>
      </c>
      <c r="H787" s="1" t="str">
        <f t="array" ref="H787">XLOOKUP(C787,customers!$A$1:$A$1001,customers!$F$1:$F$1001,0)</f>
        <v>Miami</v>
      </c>
    </row>
    <row r="788" ht="15.75" customHeight="1">
      <c r="A788" s="1" t="s">
        <v>1538</v>
      </c>
      <c r="B788" s="2">
        <v>43888.0</v>
      </c>
      <c r="C788" s="1" t="s">
        <v>1523</v>
      </c>
      <c r="D788" s="3" t="s">
        <v>543</v>
      </c>
      <c r="E788" s="1">
        <v>1.0</v>
      </c>
      <c r="F788" s="1" t="str">
        <f t="array" ref="F788">XLOOKUP(C788,customers!A787:A1787, customers!B787:B1787,0)</f>
        <v>Cam Jewster</v>
      </c>
      <c r="G788" s="1" t="str">
        <f t="array" ref="G788">IF(XLOOKUP(C789,customers!$A$1:$A$1001,customers!$C$1:$C$1001,0)=0,"",XLOOKUP(C789,customers!$A$1:$A$1001,customers!$C$1:$C$1001,0))</f>
        <v/>
      </c>
      <c r="H788" s="1" t="str">
        <f t="array" ref="H788">XLOOKUP(C788,customers!$A$1:$A$1001,customers!$F$1:$F$1001,0)</f>
        <v>Dayton</v>
      </c>
    </row>
    <row r="789" ht="15.75" customHeight="1">
      <c r="A789" s="1" t="s">
        <v>1539</v>
      </c>
      <c r="B789" s="2">
        <v>44305.0</v>
      </c>
      <c r="C789" s="1" t="s">
        <v>1540</v>
      </c>
      <c r="D789" s="3" t="s">
        <v>22</v>
      </c>
      <c r="E789" s="1">
        <v>6.0</v>
      </c>
      <c r="F789" s="1" t="str">
        <f t="array" ref="F789">XLOOKUP(C789,customers!A788:A1788, customers!B788:B1788,0)</f>
        <v>Beryl Osborn</v>
      </c>
      <c r="G789" s="1" t="str">
        <f t="array" ref="G789">IF(XLOOKUP(C790,customers!$A$1:$A$1001,customers!$C$1:$C$1001,0)=0,"",XLOOKUP(C790,customers!$A$1:$A$1001,customers!$C$1:$C$1001,0))</f>
        <v>knottramlw@odnoklassniki.ru</v>
      </c>
      <c r="H789" s="1" t="str">
        <f t="array" ref="H789">XLOOKUP(C789,customers!$A$1:$A$1001,customers!$F$1:$F$1001,0)</f>
        <v>Chicago</v>
      </c>
    </row>
    <row r="790" ht="15.75" customHeight="1">
      <c r="A790" s="1" t="s">
        <v>1541</v>
      </c>
      <c r="B790" s="2">
        <v>44771.0</v>
      </c>
      <c r="C790" s="1" t="s">
        <v>1542</v>
      </c>
      <c r="D790" s="3" t="s">
        <v>54</v>
      </c>
      <c r="E790" s="1">
        <v>2.0</v>
      </c>
      <c r="F790" s="1" t="str">
        <f t="array" ref="F790">XLOOKUP(C790,customers!A789:A1789, customers!B789:B1789,0)</f>
        <v>Kaela Nottram</v>
      </c>
      <c r="G790" s="1" t="str">
        <f t="array" ref="G790">IF(XLOOKUP(C791,customers!$A$1:$A$1001,customers!$C$1:$C$1001,0)=0,"",XLOOKUP(C791,customers!$A$1:$A$1001,customers!$C$1:$C$1001,0))</f>
        <v>nbuneylx@jugem.jp</v>
      </c>
      <c r="H790" s="1" t="str">
        <f t="array" ref="H790">XLOOKUP(C790,customers!$A$1:$A$1001,customers!$F$1:$F$1001,0)</f>
        <v>Arklow</v>
      </c>
    </row>
    <row r="791" ht="15.75" customHeight="1">
      <c r="A791" s="1" t="s">
        <v>1543</v>
      </c>
      <c r="B791" s="2">
        <v>43485.0</v>
      </c>
      <c r="C791" s="1" t="s">
        <v>1544</v>
      </c>
      <c r="D791" s="3" t="s">
        <v>19</v>
      </c>
      <c r="E791" s="1">
        <v>6.0</v>
      </c>
      <c r="F791" s="1" t="str">
        <f t="array" ref="F791">XLOOKUP(C791,customers!A790:A1790, customers!B790:B1790,0)</f>
        <v>Nobe Buney</v>
      </c>
      <c r="G791" s="1" t="str">
        <f t="array" ref="G791">IF(XLOOKUP(C792,customers!$A$1:$A$1001,customers!$C$1:$C$1001,0)=0,"",XLOOKUP(C792,customers!$A$1:$A$1001,customers!$C$1:$C$1001,0))</f>
        <v>smcshealy@photobucket.com</v>
      </c>
      <c r="H791" s="1" t="str">
        <f t="array" ref="H791">XLOOKUP(C791,customers!$A$1:$A$1001,customers!$F$1:$F$1001,0)</f>
        <v>Richmond</v>
      </c>
    </row>
    <row r="792" ht="15.75" customHeight="1">
      <c r="A792" s="1" t="s">
        <v>1545</v>
      </c>
      <c r="B792" s="2">
        <v>44613.0</v>
      </c>
      <c r="C792" s="1" t="s">
        <v>1546</v>
      </c>
      <c r="D792" s="3" t="s">
        <v>205</v>
      </c>
      <c r="E792" s="1">
        <v>3.0</v>
      </c>
      <c r="F792" s="1" t="str">
        <f t="array" ref="F792">XLOOKUP(C792,customers!A791:A1791, customers!B791:B1791,0)</f>
        <v>Silvan McShea</v>
      </c>
      <c r="G792" s="1" t="str">
        <f t="array" ref="G792">IF(XLOOKUP(C793,customers!$A$1:$A$1001,customers!$C$1:$C$1001,0)=0,"",XLOOKUP(C793,customers!$A$1:$A$1001,customers!$C$1:$C$1001,0))</f>
        <v>khuddartlz@about.com</v>
      </c>
      <c r="H792" s="1" t="str">
        <f t="array" ref="H792">XLOOKUP(C792,customers!$A$1:$A$1001,customers!$F$1:$F$1001,0)</f>
        <v>Olympia</v>
      </c>
    </row>
    <row r="793" ht="15.75" customHeight="1">
      <c r="A793" s="1" t="s">
        <v>1547</v>
      </c>
      <c r="B793" s="2">
        <v>43954.0</v>
      </c>
      <c r="C793" s="1" t="s">
        <v>1548</v>
      </c>
      <c r="D793" s="3" t="s">
        <v>32</v>
      </c>
      <c r="E793" s="1">
        <v>5.0</v>
      </c>
      <c r="F793" s="1" t="str">
        <f t="array" ref="F793">XLOOKUP(C793,customers!A792:A1792, customers!B792:B1792,0)</f>
        <v>Karylin Huddart</v>
      </c>
      <c r="G793" s="1" t="str">
        <f t="array" ref="G793">IF(XLOOKUP(C794,customers!$A$1:$A$1001,customers!$C$1:$C$1001,0)=0,"",XLOOKUP(C794,customers!$A$1:$A$1001,customers!$C$1:$C$1001,0))</f>
        <v>jgippesm0@cloudflare.com</v>
      </c>
      <c r="H793" s="1" t="str">
        <f t="array" ref="H793">XLOOKUP(C793,customers!$A$1:$A$1001,customers!$F$1:$F$1001,0)</f>
        <v>Arlington</v>
      </c>
    </row>
    <row r="794" ht="15.75" customHeight="1">
      <c r="A794" s="1" t="s">
        <v>1549</v>
      </c>
      <c r="B794" s="2">
        <v>43545.0</v>
      </c>
      <c r="C794" s="1" t="s">
        <v>1550</v>
      </c>
      <c r="D794" s="3" t="s">
        <v>91</v>
      </c>
      <c r="E794" s="1">
        <v>6.0</v>
      </c>
      <c r="F794" s="1" t="str">
        <f t="array" ref="F794">XLOOKUP(C794,customers!A793:A1793, customers!B793:B1793,0)</f>
        <v>Jereme Gippes</v>
      </c>
      <c r="G794" s="1" t="str">
        <f t="array" ref="G794">IF(XLOOKUP(C795,customers!$A$1:$A$1001,customers!$C$1:$C$1001,0)=0,"",XLOOKUP(C795,customers!$A$1:$A$1001,customers!$C$1:$C$1001,0))</f>
        <v>lwhittleseem1@e-recht24.de</v>
      </c>
      <c r="H794" s="1" t="str">
        <f t="array" ref="H794">XLOOKUP(C794,customers!$A$1:$A$1001,customers!$F$1:$F$1001,0)</f>
        <v>Twyford</v>
      </c>
    </row>
    <row r="795" ht="15.75" customHeight="1">
      <c r="A795" s="1" t="s">
        <v>1551</v>
      </c>
      <c r="B795" s="2">
        <v>43629.0</v>
      </c>
      <c r="C795" s="1" t="s">
        <v>1552</v>
      </c>
      <c r="D795" s="3" t="s">
        <v>195</v>
      </c>
      <c r="E795" s="1">
        <v>5.0</v>
      </c>
      <c r="F795" s="1" t="str">
        <f t="array" ref="F795">XLOOKUP(C795,customers!A794:A1794, customers!B794:B1794,0)</f>
        <v>Lukas Whittlesee</v>
      </c>
      <c r="G795" s="1" t="str">
        <f t="array" ref="G795">IF(XLOOKUP(C796,customers!$A$1:$A$1001,customers!$C$1:$C$1001,0)=0,"",XLOOKUP(C796,customers!$A$1:$A$1001,customers!$C$1:$C$1001,0))</f>
        <v>gtrengrovem2@elpais.com</v>
      </c>
      <c r="H795" s="1" t="str">
        <f t="array" ref="H795">XLOOKUP(C795,customers!$A$1:$A$1001,customers!$F$1:$F$1001,0)</f>
        <v>Roanoke</v>
      </c>
    </row>
    <row r="796" ht="15.75" customHeight="1">
      <c r="A796" s="1" t="s">
        <v>1553</v>
      </c>
      <c r="B796" s="2">
        <v>43987.0</v>
      </c>
      <c r="C796" s="1" t="s">
        <v>1554</v>
      </c>
      <c r="D796" s="3" t="s">
        <v>217</v>
      </c>
      <c r="E796" s="1">
        <v>5.0</v>
      </c>
      <c r="F796" s="1" t="str">
        <f t="array" ref="F796">XLOOKUP(C796,customers!A795:A1795, customers!B795:B1795,0)</f>
        <v>Gregorius Trengrove</v>
      </c>
      <c r="G796" s="1" t="str">
        <f t="array" ref="G796">IF(XLOOKUP(C797,customers!$A$1:$A$1001,customers!$C$1:$C$1001,0)=0,"",XLOOKUP(C797,customers!$A$1:$A$1001,customers!$C$1:$C$1001,0))</f>
        <v>wcalderom3@stumbleupon.com</v>
      </c>
      <c r="H796" s="1" t="str">
        <f t="array" ref="H796">XLOOKUP(C796,customers!$A$1:$A$1001,customers!$F$1:$F$1001,0)</f>
        <v>New Hyde Park</v>
      </c>
    </row>
    <row r="797" ht="15.75" customHeight="1">
      <c r="A797" s="1" t="s">
        <v>1555</v>
      </c>
      <c r="B797" s="2">
        <v>43540.0</v>
      </c>
      <c r="C797" s="1" t="s">
        <v>1556</v>
      </c>
      <c r="D797" s="3" t="s">
        <v>170</v>
      </c>
      <c r="E797" s="1">
        <v>4.0</v>
      </c>
      <c r="F797" s="1" t="str">
        <f t="array" ref="F797">XLOOKUP(C797,customers!A796:A1796, customers!B796:B1796,0)</f>
        <v>Wright Caldero</v>
      </c>
      <c r="G797" s="1" t="str">
        <f t="array" ref="G797">IF(XLOOKUP(C798,customers!$A$1:$A$1001,customers!$C$1:$C$1001,0)=0,"",XLOOKUP(C798,customers!$A$1:$A$1001,customers!$C$1:$C$1001,0))</f>
        <v/>
      </c>
      <c r="H797" s="1" t="str">
        <f t="array" ref="H797">XLOOKUP(C797,customers!$A$1:$A$1001,customers!$F$1:$F$1001,0)</f>
        <v>Anaheim</v>
      </c>
    </row>
    <row r="798" ht="15.75" customHeight="1">
      <c r="A798" s="1" t="s">
        <v>1557</v>
      </c>
      <c r="B798" s="2">
        <v>44533.0</v>
      </c>
      <c r="C798" s="1" t="s">
        <v>1558</v>
      </c>
      <c r="D798" s="3" t="s">
        <v>96</v>
      </c>
      <c r="E798" s="1">
        <v>1.0</v>
      </c>
      <c r="F798" s="1" t="str">
        <f t="array" ref="F798">XLOOKUP(C798,customers!A797:A1797, customers!B797:B1797,0)</f>
        <v>Merell Zanazzi</v>
      </c>
      <c r="G798" s="1" t="str">
        <f t="array" ref="G798">IF(XLOOKUP(C799,customers!$A$1:$A$1001,customers!$C$1:$C$1001,0)=0,"",XLOOKUP(C799,customers!$A$1:$A$1001,customers!$C$1:$C$1001,0))</f>
        <v>jkennicottm5@yahoo.co.jp</v>
      </c>
      <c r="H798" s="1" t="str">
        <f t="array" ref="H798">XLOOKUP(C798,customers!$A$1:$A$1001,customers!$F$1:$F$1001,0)</f>
        <v>Lexington</v>
      </c>
    </row>
    <row r="799" ht="15.75" customHeight="1">
      <c r="A799" s="1" t="s">
        <v>1559</v>
      </c>
      <c r="B799" s="2">
        <v>44751.0</v>
      </c>
      <c r="C799" s="1" t="s">
        <v>1560</v>
      </c>
      <c r="D799" s="3" t="s">
        <v>205</v>
      </c>
      <c r="E799" s="1">
        <v>4.0</v>
      </c>
      <c r="F799" s="1" t="str">
        <f t="array" ref="F799">XLOOKUP(C799,customers!A798:A1798, customers!B798:B1798,0)</f>
        <v>Jed Kennicott</v>
      </c>
      <c r="G799" s="1" t="str">
        <f t="array" ref="G799">IF(XLOOKUP(C800,customers!$A$1:$A$1001,customers!$C$1:$C$1001,0)=0,"",XLOOKUP(C800,customers!$A$1:$A$1001,customers!$C$1:$C$1001,0))</f>
        <v>gruggenm6@nymag.com</v>
      </c>
      <c r="H799" s="1" t="str">
        <f t="array" ref="H799">XLOOKUP(C799,customers!$A$1:$A$1001,customers!$F$1:$F$1001,0)</f>
        <v>Tampa</v>
      </c>
    </row>
    <row r="800" ht="15.75" customHeight="1">
      <c r="A800" s="1" t="s">
        <v>1561</v>
      </c>
      <c r="B800" s="2">
        <v>43950.0</v>
      </c>
      <c r="C800" s="1" t="s">
        <v>1562</v>
      </c>
      <c r="D800" s="3" t="s">
        <v>114</v>
      </c>
      <c r="E800" s="1">
        <v>3.0</v>
      </c>
      <c r="F800" s="1" t="str">
        <f t="array" ref="F800">XLOOKUP(C800,customers!A799:A1799, customers!B799:B1799,0)</f>
        <v>Guenevere Ruggen</v>
      </c>
      <c r="G800" s="1" t="str">
        <f t="array" ref="G800">IF(XLOOKUP(C801,customers!$A$1:$A$1001,customers!$C$1:$C$1001,0)=0,"",XLOOKUP(C801,customers!$A$1:$A$1001,customers!$C$1:$C$1001,0))</f>
        <v/>
      </c>
      <c r="H800" s="1" t="str">
        <f t="array" ref="H800">XLOOKUP(C800,customers!$A$1:$A$1001,customers!$F$1:$F$1001,0)</f>
        <v>San Jose</v>
      </c>
    </row>
    <row r="801" ht="15.75" customHeight="1">
      <c r="A801" s="1" t="s">
        <v>1563</v>
      </c>
      <c r="B801" s="2">
        <v>44588.0</v>
      </c>
      <c r="C801" s="1" t="s">
        <v>1564</v>
      </c>
      <c r="D801" s="3" t="s">
        <v>258</v>
      </c>
      <c r="E801" s="1">
        <v>3.0</v>
      </c>
      <c r="F801" s="1" t="str">
        <f t="array" ref="F801">XLOOKUP(C801,customers!A800:A1800, customers!B800:B1800,0)</f>
        <v>Gonzales Cicculi</v>
      </c>
      <c r="G801" s="1" t="str">
        <f t="array" ref="G801">IF(XLOOKUP(C802,customers!$A$1:$A$1001,customers!$C$1:$C$1001,0)=0,"",XLOOKUP(C802,customers!$A$1:$A$1001,customers!$C$1:$C$1001,0))</f>
        <v>mfrightm8@harvard.edu</v>
      </c>
      <c r="H801" s="1" t="str">
        <f t="array" ref="H801">XLOOKUP(C801,customers!$A$1:$A$1001,customers!$F$1:$F$1001,0)</f>
        <v>Washington</v>
      </c>
    </row>
    <row r="802" ht="15.75" customHeight="1">
      <c r="A802" s="1" t="s">
        <v>1565</v>
      </c>
      <c r="B802" s="2">
        <v>44240.0</v>
      </c>
      <c r="C802" s="1" t="s">
        <v>1566</v>
      </c>
      <c r="D802" s="3" t="s">
        <v>114</v>
      </c>
      <c r="E802" s="1">
        <v>6.0</v>
      </c>
      <c r="F802" s="1" t="str">
        <f t="array" ref="F802">XLOOKUP(C802,customers!A801:A1801, customers!B801:B1801,0)</f>
        <v>Man Fright</v>
      </c>
      <c r="G802" s="1" t="str">
        <f t="array" ref="G802">IF(XLOOKUP(C803,customers!$A$1:$A$1001,customers!$C$1:$C$1001,0)=0,"",XLOOKUP(C803,customers!$A$1:$A$1001,customers!$C$1:$C$1001,0))</f>
        <v>btartem9@aol.com</v>
      </c>
      <c r="H802" s="1" t="str">
        <f t="array" ref="H802">XLOOKUP(C802,customers!$A$1:$A$1001,customers!$F$1:$F$1001,0)</f>
        <v>Daingean</v>
      </c>
    </row>
    <row r="803" ht="15.75" customHeight="1">
      <c r="A803" s="1" t="s">
        <v>1567</v>
      </c>
      <c r="B803" s="2">
        <v>44025.0</v>
      </c>
      <c r="C803" s="1" t="s">
        <v>1568</v>
      </c>
      <c r="D803" s="3" t="s">
        <v>48</v>
      </c>
      <c r="E803" s="1">
        <v>2.0</v>
      </c>
      <c r="F803" s="1" t="str">
        <f t="array" ref="F803">XLOOKUP(C803,customers!A802:A1802, customers!B802:B1802,0)</f>
        <v>Boyce Tarte</v>
      </c>
      <c r="G803" s="1" t="str">
        <f t="array" ref="G803">IF(XLOOKUP(C804,customers!$A$1:$A$1001,customers!$C$1:$C$1001,0)=0,"",XLOOKUP(C804,customers!$A$1:$A$1001,customers!$C$1:$C$1001,0))</f>
        <v>ckrzysztofiakma@skyrock.com</v>
      </c>
      <c r="H803" s="1" t="str">
        <f t="array" ref="H803">XLOOKUP(C803,customers!$A$1:$A$1001,customers!$F$1:$F$1001,0)</f>
        <v>Olympia</v>
      </c>
    </row>
    <row r="804" ht="15.75" customHeight="1">
      <c r="A804" s="1" t="s">
        <v>1569</v>
      </c>
      <c r="B804" s="2">
        <v>43902.0</v>
      </c>
      <c r="C804" s="1" t="s">
        <v>1570</v>
      </c>
      <c r="D804" s="3" t="s">
        <v>114</v>
      </c>
      <c r="E804" s="1">
        <v>4.0</v>
      </c>
      <c r="F804" s="1" t="str">
        <f t="array" ref="F804">XLOOKUP(C804,customers!A803:A1803, customers!B803:B1803,0)</f>
        <v>Caddric Krzysztofiak</v>
      </c>
      <c r="G804" s="1" t="str">
        <f t="array" ref="G804">IF(XLOOKUP(C805,customers!$A$1:$A$1001,customers!$C$1:$C$1001,0)=0,"",XLOOKUP(C805,customers!$A$1:$A$1001,customers!$C$1:$C$1001,0))</f>
        <v>dpenquetmb@diigo.com</v>
      </c>
      <c r="H804" s="1" t="str">
        <f t="array" ref="H804">XLOOKUP(C804,customers!$A$1:$A$1001,customers!$F$1:$F$1001,0)</f>
        <v>Mesquite</v>
      </c>
    </row>
    <row r="805" ht="15.75" customHeight="1">
      <c r="A805" s="1" t="s">
        <v>1571</v>
      </c>
      <c r="B805" s="2">
        <v>43955.0</v>
      </c>
      <c r="C805" s="1" t="s">
        <v>1572</v>
      </c>
      <c r="D805" s="3" t="s">
        <v>125</v>
      </c>
      <c r="E805" s="1">
        <v>4.0</v>
      </c>
      <c r="F805" s="1" t="str">
        <f t="array" ref="F805">XLOOKUP(C805,customers!A804:A1804, customers!B804:B1804,0)</f>
        <v>Darn Penquet</v>
      </c>
      <c r="G805" s="1" t="str">
        <f t="array" ref="G805">IF(XLOOKUP(C806,customers!$A$1:$A$1001,customers!$C$1:$C$1001,0)=0,"",XLOOKUP(C806,customers!$A$1:$A$1001,customers!$C$1:$C$1001,0))</f>
        <v/>
      </c>
      <c r="H805" s="1" t="str">
        <f t="array" ref="H805">XLOOKUP(C805,customers!$A$1:$A$1001,customers!$F$1:$F$1001,0)</f>
        <v>Sacramento</v>
      </c>
    </row>
    <row r="806" ht="15.75" customHeight="1">
      <c r="A806" s="1" t="s">
        <v>1573</v>
      </c>
      <c r="B806" s="2">
        <v>44289.0</v>
      </c>
      <c r="C806" s="1" t="s">
        <v>1574</v>
      </c>
      <c r="D806" s="3" t="s">
        <v>202</v>
      </c>
      <c r="E806" s="1">
        <v>2.0</v>
      </c>
      <c r="F806" s="1" t="str">
        <f t="array" ref="F806">XLOOKUP(C806,customers!A805:A1805, customers!B805:B1805,0)</f>
        <v>Jammie Cloke</v>
      </c>
      <c r="G806" s="1" t="str">
        <f t="array" ref="G806">IF(XLOOKUP(C807,customers!$A$1:$A$1001,customers!$C$1:$C$1001,0)=0,"",XLOOKUP(C807,customers!$A$1:$A$1001,customers!$C$1:$C$1001,0))</f>
        <v/>
      </c>
      <c r="H806" s="1" t="str">
        <f t="array" ref="H806">XLOOKUP(C806,customers!$A$1:$A$1001,customers!$F$1:$F$1001,0)</f>
        <v>Newton</v>
      </c>
    </row>
    <row r="807" ht="15.75" customHeight="1">
      <c r="A807" s="1" t="s">
        <v>1575</v>
      </c>
      <c r="B807" s="2">
        <v>44713.0</v>
      </c>
      <c r="C807" s="1" t="s">
        <v>1576</v>
      </c>
      <c r="D807" s="3" t="s">
        <v>35</v>
      </c>
      <c r="E807" s="1">
        <v>1.0</v>
      </c>
      <c r="F807" s="1" t="str">
        <f t="array" ref="F807">XLOOKUP(C807,customers!A806:A1806, customers!B806:B1806,0)</f>
        <v>Chester Clowton</v>
      </c>
      <c r="G807" s="1" t="str">
        <f t="array" ref="G807">IF(XLOOKUP(C808,customers!$A$1:$A$1001,customers!$C$1:$C$1001,0)=0,"",XLOOKUP(C808,customers!$A$1:$A$1001,customers!$C$1:$C$1001,0))</f>
        <v/>
      </c>
      <c r="H807" s="1" t="str">
        <f t="array" ref="H807">XLOOKUP(C807,customers!$A$1:$A$1001,customers!$F$1:$F$1001,0)</f>
        <v>Monticello</v>
      </c>
    </row>
    <row r="808" ht="15.75" customHeight="1">
      <c r="A808" s="1" t="s">
        <v>1577</v>
      </c>
      <c r="B808" s="2">
        <v>44241.0</v>
      </c>
      <c r="C808" s="1" t="s">
        <v>1578</v>
      </c>
      <c r="D808" s="3" t="s">
        <v>51</v>
      </c>
      <c r="E808" s="1">
        <v>2.0</v>
      </c>
      <c r="F808" s="1" t="str">
        <f t="array" ref="F808">XLOOKUP(C808,customers!A807:A1807, customers!B807:B1807,0)</f>
        <v>Kathleen Diable</v>
      </c>
      <c r="G808" s="1" t="str">
        <f t="array" ref="G808">IF(XLOOKUP(C809,customers!$A$1:$A$1001,customers!$C$1:$C$1001,0)=0,"",XLOOKUP(C809,customers!$A$1:$A$1001,customers!$C$1:$C$1001,0))</f>
        <v>kferrettimf@huffingtonpost.com</v>
      </c>
      <c r="H808" s="1" t="str">
        <f t="array" ref="H808">XLOOKUP(C808,customers!$A$1:$A$1001,customers!$F$1:$F$1001,0)</f>
        <v>Kinloch</v>
      </c>
    </row>
    <row r="809" ht="15.75" customHeight="1">
      <c r="A809" s="1" t="s">
        <v>1579</v>
      </c>
      <c r="B809" s="2">
        <v>44543.0</v>
      </c>
      <c r="C809" s="1" t="s">
        <v>1580</v>
      </c>
      <c r="D809" s="3" t="s">
        <v>136</v>
      </c>
      <c r="E809" s="1">
        <v>3.0</v>
      </c>
      <c r="F809" s="1" t="str">
        <f t="array" ref="F809">XLOOKUP(C809,customers!A808:A1808, customers!B808:B1808,0)</f>
        <v>Koren Ferretti</v>
      </c>
      <c r="G809" s="1" t="str">
        <f t="array" ref="G809">IF(XLOOKUP(C810,customers!$A$1:$A$1001,customers!$C$1:$C$1001,0)=0,"",XLOOKUP(C810,customers!$A$1:$A$1001,customers!$C$1:$C$1001,0))</f>
        <v/>
      </c>
      <c r="H809" s="1" t="str">
        <f t="array" ref="H809">XLOOKUP(C809,customers!$A$1:$A$1001,customers!$F$1:$F$1001,0)</f>
        <v>Balrothery</v>
      </c>
    </row>
    <row r="810" ht="15.75" customHeight="1">
      <c r="A810" s="1" t="s">
        <v>1581</v>
      </c>
      <c r="B810" s="2">
        <v>43868.0</v>
      </c>
      <c r="C810" s="1" t="s">
        <v>1582</v>
      </c>
      <c r="D810" s="3" t="s">
        <v>23</v>
      </c>
      <c r="E810" s="1">
        <v>5.0</v>
      </c>
      <c r="F810" s="1" t="str">
        <f t="array" ref="F810">XLOOKUP(C810,customers!A809:A1809, customers!B809:B1809,0)</f>
        <v>Allis Wilmore</v>
      </c>
      <c r="G810" s="1" t="str">
        <f t="array" ref="G810">IF(XLOOKUP(C811,customers!$A$1:$A$1001,customers!$C$1:$C$1001,0)=0,"",XLOOKUP(C811,customers!$A$1:$A$1001,customers!$C$1:$C$1001,0))</f>
        <v/>
      </c>
      <c r="H810" s="1" t="str">
        <f t="array" ref="H810">XLOOKUP(C810,customers!$A$1:$A$1001,customers!$F$1:$F$1001,0)</f>
        <v>Houston</v>
      </c>
    </row>
    <row r="811" ht="15.75" customHeight="1">
      <c r="A811" s="1" t="s">
        <v>1583</v>
      </c>
      <c r="B811" s="2">
        <v>44235.0</v>
      </c>
      <c r="C811" s="1" t="s">
        <v>1584</v>
      </c>
      <c r="D811" s="3" t="s">
        <v>114</v>
      </c>
      <c r="E811" s="1">
        <v>3.0</v>
      </c>
      <c r="F811" s="1" t="str">
        <f t="array" ref="F811">XLOOKUP(C811,customers!A810:A1810, customers!B810:B1810,0)</f>
        <v>Chaddie Bennie</v>
      </c>
      <c r="G811" s="1" t="str">
        <f t="array" ref="G811">IF(XLOOKUP(C812,customers!$A$1:$A$1001,customers!$C$1:$C$1001,0)=0,"",XLOOKUP(C812,customers!$A$1:$A$1001,customers!$C$1:$C$1001,0))</f>
        <v>abalsdonemi@toplist.cz</v>
      </c>
      <c r="H811" s="1" t="str">
        <f t="array" ref="H811">XLOOKUP(C811,customers!$A$1:$A$1001,customers!$F$1:$F$1001,0)</f>
        <v>El Paso</v>
      </c>
    </row>
    <row r="812" ht="15.75" customHeight="1">
      <c r="A812" s="1" t="s">
        <v>1585</v>
      </c>
      <c r="B812" s="2">
        <v>44054.0</v>
      </c>
      <c r="C812" s="1" t="s">
        <v>1586</v>
      </c>
      <c r="D812" s="3" t="s">
        <v>96</v>
      </c>
      <c r="E812" s="1">
        <v>3.0</v>
      </c>
      <c r="F812" s="1" t="str">
        <f t="array" ref="F812">XLOOKUP(C812,customers!A811:A1811, customers!B811:B1811,0)</f>
        <v>Alberta Balsdone</v>
      </c>
      <c r="G812" s="1" t="str">
        <f t="array" ref="G812">IF(XLOOKUP(C813,customers!$A$1:$A$1001,customers!$C$1:$C$1001,0)=0,"",XLOOKUP(C813,customers!$A$1:$A$1001,customers!$C$1:$C$1001,0))</f>
        <v>bromeramj@list-manage.com</v>
      </c>
      <c r="H812" s="1" t="str">
        <f t="array" ref="H812">XLOOKUP(C812,customers!$A$1:$A$1001,customers!$F$1:$F$1001,0)</f>
        <v>Largo</v>
      </c>
    </row>
    <row r="813" ht="15.75" customHeight="1">
      <c r="A813" s="1" t="s">
        <v>1587</v>
      </c>
      <c r="B813" s="2">
        <v>44114.0</v>
      </c>
      <c r="C813" s="1" t="s">
        <v>1588</v>
      </c>
      <c r="D813" s="3" t="s">
        <v>74</v>
      </c>
      <c r="E813" s="1">
        <v>6.0</v>
      </c>
      <c r="F813" s="1" t="str">
        <f t="array" ref="F813">XLOOKUP(C813,customers!A812:A1812, customers!B812:B1812,0)</f>
        <v>Brice Romera</v>
      </c>
      <c r="G813" s="1" t="str">
        <f t="array" ref="G813">IF(XLOOKUP(C814,customers!$A$1:$A$1001,customers!$C$1:$C$1001,0)=0,"",XLOOKUP(C814,customers!$A$1:$A$1001,customers!$C$1:$C$1001,0))</f>
        <v>bromeramj@list-manage.com</v>
      </c>
      <c r="H813" s="1" t="str">
        <f t="array" ref="H813">XLOOKUP(C813,customers!$A$1:$A$1001,customers!$F$1:$F$1001,0)</f>
        <v>Foxrock</v>
      </c>
    </row>
    <row r="814" ht="15.75" customHeight="1">
      <c r="A814" s="1" t="s">
        <v>1587</v>
      </c>
      <c r="B814" s="2">
        <v>44114.0</v>
      </c>
      <c r="C814" s="1" t="s">
        <v>1588</v>
      </c>
      <c r="D814" s="3" t="s">
        <v>122</v>
      </c>
      <c r="E814" s="1">
        <v>6.0</v>
      </c>
      <c r="F814" s="1" t="str">
        <f t="array" ref="F814">XLOOKUP(C814,customers!A813:A1813, customers!B813:B1813,0)</f>
        <v>Brice Romera</v>
      </c>
      <c r="G814" s="1" t="str">
        <f t="array" ref="G814">IF(XLOOKUP(C815,customers!$A$1:$A$1001,customers!$C$1:$C$1001,0)=0,"",XLOOKUP(C815,customers!$A$1:$A$1001,customers!$C$1:$C$1001,0))</f>
        <v>cbrydeml@tuttocitta.it</v>
      </c>
      <c r="H814" s="1" t="str">
        <f t="array" ref="H814">XLOOKUP(C814,customers!$A$1:$A$1001,customers!$F$1:$F$1001,0)</f>
        <v>Foxrock</v>
      </c>
    </row>
    <row r="815" ht="15.75" customHeight="1">
      <c r="A815" s="1" t="s">
        <v>1589</v>
      </c>
      <c r="B815" s="2">
        <v>44173.0</v>
      </c>
      <c r="C815" s="1" t="s">
        <v>1590</v>
      </c>
      <c r="D815" s="3" t="s">
        <v>125</v>
      </c>
      <c r="E815" s="1">
        <v>1.0</v>
      </c>
      <c r="F815" s="1" t="str">
        <f t="array" ref="F815">XLOOKUP(C815,customers!A814:A1814, customers!B814:B1814,0)</f>
        <v>Conchita Bryde</v>
      </c>
      <c r="G815" s="1" t="str">
        <f t="array" ref="G815">IF(XLOOKUP(C816,customers!$A$1:$A$1001,customers!$C$1:$C$1001,0)=0,"",XLOOKUP(C816,customers!$A$1:$A$1001,customers!$C$1:$C$1001,0))</f>
        <v>senefermm@blog.com</v>
      </c>
      <c r="H815" s="1" t="str">
        <f t="array" ref="H815">XLOOKUP(C815,customers!$A$1:$A$1001,customers!$F$1:$F$1001,0)</f>
        <v>Oklahoma City</v>
      </c>
    </row>
    <row r="816" ht="15.75" customHeight="1">
      <c r="A816" s="1" t="s">
        <v>1591</v>
      </c>
      <c r="B816" s="2">
        <v>43573.0</v>
      </c>
      <c r="C816" s="1" t="s">
        <v>1592</v>
      </c>
      <c r="D816" s="3" t="s">
        <v>267</v>
      </c>
      <c r="E816" s="1">
        <v>2.0</v>
      </c>
      <c r="F816" s="1" t="str">
        <f t="array" ref="F816">XLOOKUP(C816,customers!A815:A1815, customers!B815:B1815,0)</f>
        <v>Silvanus Enefer</v>
      </c>
      <c r="G816" s="1" t="str">
        <f t="array" ref="G816">IF(XLOOKUP(C817,customers!$A$1:$A$1001,customers!$C$1:$C$1001,0)=0,"",XLOOKUP(C817,customers!$A$1:$A$1001,customers!$C$1:$C$1001,0))</f>
        <v>lhaggerstonemn@independent.co.uk</v>
      </c>
      <c r="H816" s="1" t="str">
        <f t="array" ref="H816">XLOOKUP(C816,customers!$A$1:$A$1001,customers!$F$1:$F$1001,0)</f>
        <v>Washington</v>
      </c>
    </row>
    <row r="817" ht="15.75" customHeight="1">
      <c r="A817" s="1" t="s">
        <v>1593</v>
      </c>
      <c r="B817" s="2">
        <v>44200.0</v>
      </c>
      <c r="C817" s="1" t="s">
        <v>1594</v>
      </c>
      <c r="D817" s="3" t="s">
        <v>35</v>
      </c>
      <c r="E817" s="1">
        <v>6.0</v>
      </c>
      <c r="F817" s="1" t="str">
        <f t="array" ref="F817">XLOOKUP(C817,customers!A816:A1816, customers!B816:B1816,0)</f>
        <v>Lenci Haggerstone</v>
      </c>
      <c r="G817" s="1" t="str">
        <f t="array" ref="G817">IF(XLOOKUP(C818,customers!$A$1:$A$1001,customers!$C$1:$C$1001,0)=0,"",XLOOKUP(C818,customers!$A$1:$A$1001,customers!$C$1:$C$1001,0))</f>
        <v>mgundrymo@omniture.com</v>
      </c>
      <c r="H817" s="1" t="str">
        <f t="array" ref="H817">XLOOKUP(C817,customers!$A$1:$A$1001,customers!$F$1:$F$1001,0)</f>
        <v>Atlanta</v>
      </c>
    </row>
    <row r="818" ht="15.75" customHeight="1">
      <c r="A818" s="1" t="s">
        <v>1595</v>
      </c>
      <c r="B818" s="2">
        <v>43534.0</v>
      </c>
      <c r="C818" s="1" t="s">
        <v>1596</v>
      </c>
      <c r="D818" s="3" t="s">
        <v>96</v>
      </c>
      <c r="E818" s="1">
        <v>4.0</v>
      </c>
      <c r="F818" s="1" t="str">
        <f t="array" ref="F818">XLOOKUP(C818,customers!A817:A1817, customers!B817:B1817,0)</f>
        <v>Marvin Gundry</v>
      </c>
      <c r="G818" s="1" t="str">
        <f t="array" ref="G818">IF(XLOOKUP(C819,customers!$A$1:$A$1001,customers!$C$1:$C$1001,0)=0,"",XLOOKUP(C819,customers!$A$1:$A$1001,customers!$C$1:$C$1001,0))</f>
        <v>bwellanmp@cafepress.com</v>
      </c>
      <c r="H818" s="1" t="str">
        <f t="array" ref="H818">XLOOKUP(C818,customers!$A$1:$A$1001,customers!$F$1:$F$1001,0)</f>
        <v>Castlebridge</v>
      </c>
    </row>
    <row r="819" ht="15.75" customHeight="1">
      <c r="A819" s="1" t="s">
        <v>1597</v>
      </c>
      <c r="B819" s="2">
        <v>43798.0</v>
      </c>
      <c r="C819" s="1" t="s">
        <v>1598</v>
      </c>
      <c r="D819" s="3" t="s">
        <v>136</v>
      </c>
      <c r="E819" s="1">
        <v>2.0</v>
      </c>
      <c r="F819" s="1" t="str">
        <f t="array" ref="F819">XLOOKUP(C819,customers!A818:A1818, customers!B818:B1818,0)</f>
        <v>Bayard Wellan</v>
      </c>
      <c r="G819" s="1" t="str">
        <f t="array" ref="G819">IF(XLOOKUP(C820,customers!$A$1:$A$1001,customers!$C$1:$C$1001,0)=0,"",XLOOKUP(C820,customers!$A$1:$A$1001,customers!$C$1:$C$1001,0))</f>
        <v/>
      </c>
      <c r="H819" s="1" t="str">
        <f t="array" ref="H819">XLOOKUP(C819,customers!$A$1:$A$1001,customers!$F$1:$F$1001,0)</f>
        <v>Buffalo</v>
      </c>
    </row>
    <row r="820" ht="15.75" customHeight="1">
      <c r="A820" s="1" t="s">
        <v>1599</v>
      </c>
      <c r="B820" s="2">
        <v>44761.0</v>
      </c>
      <c r="C820" s="1" t="s">
        <v>1582</v>
      </c>
      <c r="D820" s="3" t="s">
        <v>145</v>
      </c>
      <c r="E820" s="1">
        <v>5.0</v>
      </c>
      <c r="F820" s="1" t="str">
        <f t="array" ref="F820">XLOOKUP(C820,customers!A819:A1819, customers!B819:B1819,0)</f>
        <v>Allis Wilmore</v>
      </c>
      <c r="G820" s="1" t="str">
        <f t="array" ref="G820">IF(XLOOKUP(C821,customers!$A$1:$A$1001,customers!$C$1:$C$1001,0)=0,"",XLOOKUP(C821,customers!$A$1:$A$1001,customers!$C$1:$C$1001,0))</f>
        <v>catchesonmr@xinhuanet.com</v>
      </c>
      <c r="H820" s="1" t="str">
        <f t="array" ref="H820">XLOOKUP(C820,customers!$A$1:$A$1001,customers!$F$1:$F$1001,0)</f>
        <v>Houston</v>
      </c>
    </row>
    <row r="821" ht="15.75" customHeight="1">
      <c r="A821" s="1" t="s">
        <v>1600</v>
      </c>
      <c r="B821" s="2">
        <v>44008.0</v>
      </c>
      <c r="C821" s="1" t="s">
        <v>1601</v>
      </c>
      <c r="D821" s="3" t="s">
        <v>32</v>
      </c>
      <c r="E821" s="1">
        <v>1.0</v>
      </c>
      <c r="F821" s="1" t="str">
        <f t="array" ref="F821">XLOOKUP(C821,customers!A820:A1820, customers!B820:B1820,0)</f>
        <v>Caddric Atcheson</v>
      </c>
      <c r="G821" s="1" t="str">
        <f t="array" ref="G821">IF(XLOOKUP(C822,customers!$A$1:$A$1001,customers!$C$1:$C$1001,0)=0,"",XLOOKUP(C822,customers!$A$1:$A$1001,customers!$C$1:$C$1001,0))</f>
        <v>estentonms@google.it</v>
      </c>
      <c r="H821" s="1" t="str">
        <f t="array" ref="H821">XLOOKUP(C821,customers!$A$1:$A$1001,customers!$F$1:$F$1001,0)</f>
        <v>Washington</v>
      </c>
    </row>
    <row r="822" ht="15.75" customHeight="1">
      <c r="A822" s="1" t="s">
        <v>1602</v>
      </c>
      <c r="B822" s="2">
        <v>43510.0</v>
      </c>
      <c r="C822" s="1" t="s">
        <v>1603</v>
      </c>
      <c r="D822" s="3" t="s">
        <v>22</v>
      </c>
      <c r="E822" s="1">
        <v>4.0</v>
      </c>
      <c r="F822" s="1" t="str">
        <f t="array" ref="F822">XLOOKUP(C822,customers!A821:A1821, customers!B821:B1821,0)</f>
        <v>Eustace Stenton</v>
      </c>
      <c r="G822" s="1" t="str">
        <f t="array" ref="G822">IF(XLOOKUP(C823,customers!$A$1:$A$1001,customers!$C$1:$C$1001,0)=0,"",XLOOKUP(C823,customers!$A$1:$A$1001,customers!$C$1:$C$1001,0))</f>
        <v>etrippmt@wp.com</v>
      </c>
      <c r="H822" s="1" t="str">
        <f t="array" ref="H822">XLOOKUP(C822,customers!$A$1:$A$1001,customers!$F$1:$F$1001,0)</f>
        <v>Austin</v>
      </c>
    </row>
    <row r="823" ht="15.75" customHeight="1">
      <c r="A823" s="1" t="s">
        <v>1604</v>
      </c>
      <c r="B823" s="2">
        <v>44144.0</v>
      </c>
      <c r="C823" s="1" t="s">
        <v>1605</v>
      </c>
      <c r="D823" s="3" t="s">
        <v>159</v>
      </c>
      <c r="E823" s="1">
        <v>5.0</v>
      </c>
      <c r="F823" s="1" t="str">
        <f t="array" ref="F823">XLOOKUP(C823,customers!A822:A1822, customers!B822:B1822,0)</f>
        <v>Ericka Tripp</v>
      </c>
      <c r="G823" s="1" t="str">
        <f t="array" ref="G823">IF(XLOOKUP(C824,customers!$A$1:$A$1001,customers!$C$1:$C$1001,0)=0,"",XLOOKUP(C824,customers!$A$1:$A$1001,customers!$C$1:$C$1001,0))</f>
        <v>lmacmanusmu@imdb.com</v>
      </c>
      <c r="H823" s="1" t="str">
        <f t="array" ref="H823">XLOOKUP(C823,customers!$A$1:$A$1001,customers!$F$1:$F$1001,0)</f>
        <v>Mesa</v>
      </c>
    </row>
    <row r="824" ht="15.75" customHeight="1">
      <c r="A824" s="1" t="s">
        <v>1606</v>
      </c>
      <c r="B824" s="2">
        <v>43585.0</v>
      </c>
      <c r="C824" s="1" t="s">
        <v>1607</v>
      </c>
      <c r="D824" s="3" t="s">
        <v>43</v>
      </c>
      <c r="E824" s="1">
        <v>4.0</v>
      </c>
      <c r="F824" s="1" t="str">
        <f t="array" ref="F824">XLOOKUP(C824,customers!A823:A1823, customers!B823:B1823,0)</f>
        <v>Lyndsey MacManus</v>
      </c>
      <c r="G824" s="1" t="str">
        <f t="array" ref="G824">IF(XLOOKUP(C825,customers!$A$1:$A$1001,customers!$C$1:$C$1001,0)=0,"",XLOOKUP(C825,customers!$A$1:$A$1001,customers!$C$1:$C$1001,0))</f>
        <v>tbenediktovichmv@ebay.com</v>
      </c>
      <c r="H824" s="1" t="str">
        <f t="array" ref="H824">XLOOKUP(C824,customers!$A$1:$A$1001,customers!$F$1:$F$1001,0)</f>
        <v>Savannah</v>
      </c>
    </row>
    <row r="825" ht="15.75" customHeight="1">
      <c r="A825" s="1" t="s">
        <v>1608</v>
      </c>
      <c r="B825" s="2">
        <v>44134.0</v>
      </c>
      <c r="C825" s="1" t="s">
        <v>1609</v>
      </c>
      <c r="D825" s="3" t="s">
        <v>145</v>
      </c>
      <c r="E825" s="1">
        <v>3.0</v>
      </c>
      <c r="F825" s="1" t="str">
        <f t="array" ref="F825">XLOOKUP(C825,customers!A824:A1824, customers!B824:B1824,0)</f>
        <v>Tess Benediktovich</v>
      </c>
      <c r="G825" s="1" t="str">
        <f t="array" ref="G825">IF(XLOOKUP(C826,customers!$A$1:$A$1001,customers!$C$1:$C$1001,0)=0,"",XLOOKUP(C826,customers!$A$1:$A$1001,customers!$C$1:$C$1001,0))</f>
        <v>cbournermw@chronoengine.com</v>
      </c>
      <c r="H825" s="1" t="str">
        <f t="array" ref="H825">XLOOKUP(C825,customers!$A$1:$A$1001,customers!$F$1:$F$1001,0)</f>
        <v>Albuquerque</v>
      </c>
    </row>
    <row r="826" ht="15.75" customHeight="1">
      <c r="A826" s="1" t="s">
        <v>1610</v>
      </c>
      <c r="B826" s="2">
        <v>43781.0</v>
      </c>
      <c r="C826" s="1" t="s">
        <v>1611</v>
      </c>
      <c r="D826" s="3" t="s">
        <v>57</v>
      </c>
      <c r="E826" s="1">
        <v>5.0</v>
      </c>
      <c r="F826" s="1" t="str">
        <f t="array" ref="F826">XLOOKUP(C826,customers!A825:A1825, customers!B825:B1825,0)</f>
        <v>Correy Bourner</v>
      </c>
      <c r="G826" s="1" t="str">
        <f t="array" ref="G826">IF(XLOOKUP(C827,customers!$A$1:$A$1001,customers!$C$1:$C$1001,0)=0,"",XLOOKUP(C827,customers!$A$1:$A$1001,customers!$C$1:$C$1001,0))</f>
        <v>oskermen3@hatena.ne.jp</v>
      </c>
      <c r="H826" s="1" t="str">
        <f t="array" ref="H826">XLOOKUP(C826,customers!$A$1:$A$1001,customers!$F$1:$F$1001,0)</f>
        <v>Charlotte</v>
      </c>
    </row>
    <row r="827" ht="15.75" customHeight="1">
      <c r="A827" s="1" t="s">
        <v>1612</v>
      </c>
      <c r="B827" s="2">
        <v>44603.0</v>
      </c>
      <c r="C827" s="1" t="s">
        <v>1613</v>
      </c>
      <c r="D827" s="3" t="s">
        <v>40</v>
      </c>
      <c r="E827" s="1">
        <v>3.0</v>
      </c>
      <c r="F827" s="1" t="str">
        <f t="array" ref="F827">XLOOKUP(C827,customers!A826:A1826, customers!B826:B1826,0)</f>
        <v>Odelia Skerme</v>
      </c>
      <c r="G827" s="1" t="str">
        <f t="array" ref="G827">IF(XLOOKUP(C828,customers!$A$1:$A$1001,customers!$C$1:$C$1001,0)=0,"",XLOOKUP(C828,customers!$A$1:$A$1001,customers!$C$1:$C$1001,0))</f>
        <v>kheddanmy@icq.com</v>
      </c>
      <c r="H827" s="1" t="str">
        <f t="array" ref="H827">XLOOKUP(C827,customers!$A$1:$A$1001,customers!$F$1:$F$1001,0)</f>
        <v>Oklahoma City</v>
      </c>
    </row>
    <row r="828" ht="15.75" customHeight="1">
      <c r="A828" s="1" t="s">
        <v>1614</v>
      </c>
      <c r="B828" s="2">
        <v>44283.0</v>
      </c>
      <c r="C828" s="1" t="s">
        <v>1615</v>
      </c>
      <c r="D828" s="3" t="s">
        <v>16</v>
      </c>
      <c r="E828" s="1">
        <v>5.0</v>
      </c>
      <c r="F828" s="1" t="str">
        <f t="array" ref="F828">XLOOKUP(C828,customers!A827:A1827, customers!B827:B1827,0)</f>
        <v>Kandy Heddan</v>
      </c>
      <c r="G828" s="1" t="str">
        <f t="array" ref="G828">IF(XLOOKUP(C829,customers!$A$1:$A$1001,customers!$C$1:$C$1001,0)=0,"",XLOOKUP(C829,customers!$A$1:$A$1001,customers!$C$1:$C$1001,0))</f>
        <v>ichartersmz@abc.net.au</v>
      </c>
      <c r="H828" s="1" t="str">
        <f t="array" ref="H828">XLOOKUP(C828,customers!$A$1:$A$1001,customers!$F$1:$F$1001,0)</f>
        <v>Pensacola</v>
      </c>
    </row>
    <row r="829" ht="15.75" customHeight="1">
      <c r="A829" s="1" t="s">
        <v>1616</v>
      </c>
      <c r="B829" s="2">
        <v>44540.0</v>
      </c>
      <c r="C829" s="1" t="s">
        <v>1617</v>
      </c>
      <c r="D829" s="3" t="s">
        <v>77</v>
      </c>
      <c r="E829" s="1">
        <v>5.0</v>
      </c>
      <c r="F829" s="1" t="str">
        <f t="array" ref="F829">XLOOKUP(C829,customers!A828:A1828, customers!B828:B1828,0)</f>
        <v>Ibby Charters</v>
      </c>
      <c r="G829" s="1" t="str">
        <f t="array" ref="G829">IF(XLOOKUP(C830,customers!$A$1:$A$1001,customers!$C$1:$C$1001,0)=0,"",XLOOKUP(C830,customers!$A$1:$A$1001,customers!$C$1:$C$1001,0))</f>
        <v>aroubertn0@tmall.com</v>
      </c>
      <c r="H829" s="1" t="str">
        <f t="array" ref="H829">XLOOKUP(C829,customers!$A$1:$A$1001,customers!$F$1:$F$1001,0)</f>
        <v>Washington</v>
      </c>
    </row>
    <row r="830" ht="15.75" customHeight="1">
      <c r="A830" s="1" t="s">
        <v>1618</v>
      </c>
      <c r="B830" s="2">
        <v>44505.0</v>
      </c>
      <c r="C830" s="1" t="s">
        <v>1619</v>
      </c>
      <c r="D830" s="3" t="s">
        <v>131</v>
      </c>
      <c r="E830" s="1">
        <v>6.0</v>
      </c>
      <c r="F830" s="1" t="str">
        <f t="array" ref="F830">XLOOKUP(C830,customers!A829:A1829, customers!B829:B1829,0)</f>
        <v>Adora Roubert</v>
      </c>
      <c r="G830" s="1" t="str">
        <f t="array" ref="G830">IF(XLOOKUP(C831,customers!$A$1:$A$1001,customers!$C$1:$C$1001,0)=0,"",XLOOKUP(C831,customers!$A$1:$A$1001,customers!$C$1:$C$1001,0))</f>
        <v>hmairsn1@so-net.ne.jp</v>
      </c>
      <c r="H830" s="1" t="str">
        <f t="array" ref="H830">XLOOKUP(C830,customers!$A$1:$A$1001,customers!$F$1:$F$1001,0)</f>
        <v>Port Saint Lucie</v>
      </c>
    </row>
    <row r="831" ht="15.75" customHeight="1">
      <c r="A831" s="1" t="s">
        <v>1620</v>
      </c>
      <c r="B831" s="2">
        <v>43890.0</v>
      </c>
      <c r="C831" s="1" t="s">
        <v>1621</v>
      </c>
      <c r="D831" s="3" t="s">
        <v>67</v>
      </c>
      <c r="E831" s="1">
        <v>1.0</v>
      </c>
      <c r="F831" s="1" t="str">
        <f t="array" ref="F831">XLOOKUP(C831,customers!A830:A1830, customers!B830:B1830,0)</f>
        <v>Hillel Mairs</v>
      </c>
      <c r="G831" s="1" t="str">
        <f t="array" ref="G831">IF(XLOOKUP(C832,customers!$A$1:$A$1001,customers!$C$1:$C$1001,0)=0,"",XLOOKUP(C832,customers!$A$1:$A$1001,customers!$C$1:$C$1001,0))</f>
        <v>hrainforthn2@blog.com</v>
      </c>
      <c r="H831" s="1" t="str">
        <f t="array" ref="H831">XLOOKUP(C831,customers!$A$1:$A$1001,customers!$F$1:$F$1001,0)</f>
        <v>Huntington</v>
      </c>
    </row>
    <row r="832" ht="15.75" customHeight="1">
      <c r="A832" s="1" t="s">
        <v>1622</v>
      </c>
      <c r="B832" s="2">
        <v>44414.0</v>
      </c>
      <c r="C832" s="1" t="s">
        <v>1623</v>
      </c>
      <c r="D832" s="3" t="s">
        <v>22</v>
      </c>
      <c r="E832" s="1">
        <v>2.0</v>
      </c>
      <c r="F832" s="1" t="str">
        <f t="array" ref="F832">XLOOKUP(C832,customers!A831:A1831, customers!B831:B1831,0)</f>
        <v>Helaina Rainforth</v>
      </c>
      <c r="G832" s="1" t="str">
        <f t="array" ref="G832">IF(XLOOKUP(C833,customers!$A$1:$A$1001,customers!$C$1:$C$1001,0)=0,"",XLOOKUP(C833,customers!$A$1:$A$1001,customers!$C$1:$C$1001,0))</f>
        <v>hrainforthn2@blog.com</v>
      </c>
      <c r="H832" s="1" t="str">
        <f t="array" ref="H832">XLOOKUP(C832,customers!$A$1:$A$1001,customers!$F$1:$F$1001,0)</f>
        <v>Philadelphia</v>
      </c>
    </row>
    <row r="833" ht="15.75" customHeight="1">
      <c r="A833" s="1" t="s">
        <v>1622</v>
      </c>
      <c r="B833" s="2">
        <v>44414.0</v>
      </c>
      <c r="C833" s="1" t="s">
        <v>1623</v>
      </c>
      <c r="D833" s="3" t="s">
        <v>67</v>
      </c>
      <c r="E833" s="1">
        <v>2.0</v>
      </c>
      <c r="F833" s="1" t="str">
        <f t="array" ref="F833">XLOOKUP(C833,customers!A832:A1832, customers!B832:B1832,0)</f>
        <v>Helaina Rainforth</v>
      </c>
      <c r="G833" s="1" t="str">
        <f t="array" ref="G833">IF(XLOOKUP(C834,customers!$A$1:$A$1001,customers!$C$1:$C$1001,0)=0,"",XLOOKUP(C834,customers!$A$1:$A$1001,customers!$C$1:$C$1001,0))</f>
        <v>ijespern4@theglobeandmail.com</v>
      </c>
      <c r="H833" s="1" t="str">
        <f t="array" ref="H833">XLOOKUP(C833,customers!$A$1:$A$1001,customers!$F$1:$F$1001,0)</f>
        <v>Philadelphia</v>
      </c>
    </row>
    <row r="834" ht="15.75" customHeight="1">
      <c r="A834" s="1" t="s">
        <v>1624</v>
      </c>
      <c r="B834" s="2">
        <v>44274.0</v>
      </c>
      <c r="C834" s="1" t="s">
        <v>1625</v>
      </c>
      <c r="D834" s="3" t="s">
        <v>15</v>
      </c>
      <c r="E834" s="1">
        <v>6.0</v>
      </c>
      <c r="F834" s="1" t="str">
        <f t="array" ref="F834">XLOOKUP(C834,customers!A833:A1833, customers!B833:B1833,0)</f>
        <v>Isac Jesper</v>
      </c>
      <c r="G834" s="1" t="str">
        <f t="array" ref="G834">IF(XLOOKUP(C835,customers!$A$1:$A$1001,customers!$C$1:$C$1001,0)=0,"",XLOOKUP(C835,customers!$A$1:$A$1001,customers!$C$1:$C$1001,0))</f>
        <v>ldwerryhousen5@gravatar.com</v>
      </c>
      <c r="H834" s="1" t="str">
        <f t="array" ref="H834">XLOOKUP(C834,customers!$A$1:$A$1001,customers!$F$1:$F$1001,0)</f>
        <v>Naples</v>
      </c>
    </row>
    <row r="835" ht="15.75" customHeight="1">
      <c r="A835" s="1" t="s">
        <v>1626</v>
      </c>
      <c r="B835" s="2">
        <v>44302.0</v>
      </c>
      <c r="C835" s="1" t="s">
        <v>1627</v>
      </c>
      <c r="D835" s="3" t="s">
        <v>48</v>
      </c>
      <c r="E835" s="1">
        <v>4.0</v>
      </c>
      <c r="F835" s="1" t="str">
        <f t="array" ref="F835">XLOOKUP(C835,customers!A834:A1834, customers!B834:B1834,0)</f>
        <v>Lenette Dwerryhouse</v>
      </c>
      <c r="G835" s="1" t="str">
        <f t="array" ref="G835">IF(XLOOKUP(C836,customers!$A$1:$A$1001,customers!$C$1:$C$1001,0)=0,"",XLOOKUP(C836,customers!$A$1:$A$1001,customers!$C$1:$C$1001,0))</f>
        <v>nbroomern6@examiner.com</v>
      </c>
      <c r="H835" s="1" t="str">
        <f t="array" ref="H835">XLOOKUP(C835,customers!$A$1:$A$1001,customers!$F$1:$F$1001,0)</f>
        <v>Fort Worth</v>
      </c>
    </row>
    <row r="836" ht="15.75" customHeight="1">
      <c r="A836" s="1" t="s">
        <v>1628</v>
      </c>
      <c r="B836" s="2">
        <v>44141.0</v>
      </c>
      <c r="C836" s="1" t="s">
        <v>1629</v>
      </c>
      <c r="D836" s="3" t="s">
        <v>131</v>
      </c>
      <c r="E836" s="1">
        <v>1.0</v>
      </c>
      <c r="F836" s="1" t="str">
        <f t="array" ref="F836">XLOOKUP(C836,customers!A835:A1835, customers!B835:B1835,0)</f>
        <v>Nadeen Broomer</v>
      </c>
      <c r="G836" s="1" t="str">
        <f t="array" ref="G836">IF(XLOOKUP(C837,customers!$A$1:$A$1001,customers!$C$1:$C$1001,0)=0,"",XLOOKUP(C837,customers!$A$1:$A$1001,customers!$C$1:$C$1001,0))</f>
        <v>kthoumassonn7@bloglovin.com</v>
      </c>
      <c r="H836" s="1" t="str">
        <f t="array" ref="H836">XLOOKUP(C836,customers!$A$1:$A$1001,customers!$F$1:$F$1001,0)</f>
        <v>Omaha</v>
      </c>
    </row>
    <row r="837" ht="15.75" customHeight="1">
      <c r="A837" s="1" t="s">
        <v>1630</v>
      </c>
      <c r="B837" s="2">
        <v>44270.0</v>
      </c>
      <c r="C837" s="1" t="s">
        <v>1631</v>
      </c>
      <c r="D837" s="3" t="s">
        <v>189</v>
      </c>
      <c r="E837" s="1">
        <v>1.0</v>
      </c>
      <c r="F837" s="1" t="str">
        <f t="array" ref="F837">XLOOKUP(C837,customers!A836:A1836, customers!B836:B1836,0)</f>
        <v>Konstantine Thoumasson</v>
      </c>
      <c r="G837" s="1" t="str">
        <f t="array" ref="G837">IF(XLOOKUP(C838,customers!$A$1:$A$1001,customers!$C$1:$C$1001,0)=0,"",XLOOKUP(C838,customers!$A$1:$A$1001,customers!$C$1:$C$1001,0))</f>
        <v>fhabberghamn8@discovery.com</v>
      </c>
      <c r="H837" s="1" t="str">
        <f t="array" ref="H837">XLOOKUP(C837,customers!$A$1:$A$1001,customers!$F$1:$F$1001,0)</f>
        <v>Tucson</v>
      </c>
    </row>
    <row r="838" ht="15.75" customHeight="1">
      <c r="A838" s="1" t="s">
        <v>1632</v>
      </c>
      <c r="B838" s="2">
        <v>44486.0</v>
      </c>
      <c r="C838" s="1" t="s">
        <v>1633</v>
      </c>
      <c r="D838" s="3" t="s">
        <v>67</v>
      </c>
      <c r="E838" s="1">
        <v>4.0</v>
      </c>
      <c r="F838" s="1" t="str">
        <f t="array" ref="F838">XLOOKUP(C838,customers!A837:A1837, customers!B837:B1837,0)</f>
        <v>Frans Habbergham</v>
      </c>
      <c r="G838" s="1" t="str">
        <f t="array" ref="G838">IF(XLOOKUP(C839,customers!$A$1:$A$1001,customers!$C$1:$C$1001,0)=0,"",XLOOKUP(C839,customers!$A$1:$A$1001,customers!$C$1:$C$1001,0))</f>
        <v/>
      </c>
      <c r="H838" s="1" t="str">
        <f t="array" ref="H838">XLOOKUP(C838,customers!$A$1:$A$1001,customers!$F$1:$F$1001,0)</f>
        <v>Sparks</v>
      </c>
    </row>
    <row r="839" ht="15.75" customHeight="1">
      <c r="A839" s="1" t="s">
        <v>1634</v>
      </c>
      <c r="B839" s="2">
        <v>43715.0</v>
      </c>
      <c r="C839" s="1" t="s">
        <v>1582</v>
      </c>
      <c r="D839" s="3" t="s">
        <v>210</v>
      </c>
      <c r="E839" s="1">
        <v>3.0</v>
      </c>
      <c r="F839" s="1">
        <f t="array" ref="F839">XLOOKUP(C839,customers!A838:A1838, customers!B838:B1838,0)</f>
        <v>0</v>
      </c>
      <c r="G839" s="1" t="str">
        <f t="array" ref="G839">IF(XLOOKUP(C840,customers!$A$1:$A$1001,customers!$C$1:$C$1001,0)=0,"",XLOOKUP(C840,customers!$A$1:$A$1001,customers!$C$1:$C$1001,0))</f>
        <v>ravrashinna@tamu.edu</v>
      </c>
      <c r="H839" s="1" t="str">
        <f t="array" ref="H839">XLOOKUP(C839,customers!$A$1:$A$1001,customers!$F$1:$F$1001,0)</f>
        <v>Houston</v>
      </c>
    </row>
    <row r="840" ht="15.75" customHeight="1">
      <c r="A840" s="1" t="s">
        <v>1635</v>
      </c>
      <c r="B840" s="2">
        <v>44755.0</v>
      </c>
      <c r="C840" s="1" t="s">
        <v>1636</v>
      </c>
      <c r="D840" s="3" t="s">
        <v>131</v>
      </c>
      <c r="E840" s="1">
        <v>5.0</v>
      </c>
      <c r="F840" s="1" t="str">
        <f t="array" ref="F840">XLOOKUP(C840,customers!A839:A1839, customers!B839:B1839,0)</f>
        <v>Romain Avrashin</v>
      </c>
      <c r="G840" s="1" t="str">
        <f t="array" ref="G840">IF(XLOOKUP(C841,customers!$A$1:$A$1001,customers!$C$1:$C$1001,0)=0,"",XLOOKUP(C841,customers!$A$1:$A$1001,customers!$C$1:$C$1001,0))</f>
        <v>mdoidgenb@etsy.com</v>
      </c>
      <c r="H840" s="1" t="str">
        <f t="array" ref="H840">XLOOKUP(C840,customers!$A$1:$A$1001,customers!$F$1:$F$1001,0)</f>
        <v>Washington</v>
      </c>
    </row>
    <row r="841" ht="15.75" customHeight="1">
      <c r="A841" s="1" t="s">
        <v>1637</v>
      </c>
      <c r="B841" s="2">
        <v>44521.0</v>
      </c>
      <c r="C841" s="1" t="s">
        <v>1638</v>
      </c>
      <c r="D841" s="3" t="s">
        <v>16</v>
      </c>
      <c r="E841" s="1">
        <v>5.0</v>
      </c>
      <c r="F841" s="1" t="str">
        <f t="array" ref="F841">XLOOKUP(C841,customers!A840:A1840, customers!B840:B1840,0)</f>
        <v>Miran Doidge</v>
      </c>
      <c r="G841" s="1" t="str">
        <f t="array" ref="G841">IF(XLOOKUP(C842,customers!$A$1:$A$1001,customers!$C$1:$C$1001,0)=0,"",XLOOKUP(C842,customers!$A$1:$A$1001,customers!$C$1:$C$1001,0))</f>
        <v>jedinboronc@reverbnation.com</v>
      </c>
      <c r="H841" s="1" t="str">
        <f t="array" ref="H841">XLOOKUP(C841,customers!$A$1:$A$1001,customers!$F$1:$F$1001,0)</f>
        <v>Salinas</v>
      </c>
    </row>
    <row r="842" ht="15.75" customHeight="1">
      <c r="A842" s="1" t="s">
        <v>1639</v>
      </c>
      <c r="B842" s="2">
        <v>44574.0</v>
      </c>
      <c r="C842" s="1" t="s">
        <v>1640</v>
      </c>
      <c r="D842" s="3" t="s">
        <v>170</v>
      </c>
      <c r="E842" s="1">
        <v>4.0</v>
      </c>
      <c r="F842" s="1" t="str">
        <f t="array" ref="F842">XLOOKUP(C842,customers!A841:A1841, customers!B841:B1841,0)</f>
        <v>Janeva Edinboro</v>
      </c>
      <c r="G842" s="1" t="str">
        <f t="array" ref="G842">IF(XLOOKUP(C843,customers!$A$1:$A$1001,customers!$C$1:$C$1001,0)=0,"",XLOOKUP(C843,customers!$A$1:$A$1001,customers!$C$1:$C$1001,0))</f>
        <v>ttewelsonnd@cdbaby.com</v>
      </c>
      <c r="H842" s="1" t="str">
        <f t="array" ref="H842">XLOOKUP(C842,customers!$A$1:$A$1001,customers!$F$1:$F$1001,0)</f>
        <v>Fort Lauderdale</v>
      </c>
    </row>
    <row r="843" ht="15.75" customHeight="1">
      <c r="A843" s="1" t="s">
        <v>1641</v>
      </c>
      <c r="B843" s="2">
        <v>44755.0</v>
      </c>
      <c r="C843" s="1" t="s">
        <v>1642</v>
      </c>
      <c r="D843" s="3" t="s">
        <v>90</v>
      </c>
      <c r="E843" s="1">
        <v>1.0</v>
      </c>
      <c r="F843" s="1" t="str">
        <f t="array" ref="F843">XLOOKUP(C843,customers!A842:A1842, customers!B842:B1842,0)</f>
        <v>Trumaine Tewelson</v>
      </c>
      <c r="G843" s="1" t="str">
        <f t="array" ref="G843">IF(XLOOKUP(C844,customers!$A$1:$A$1001,customers!$C$1:$C$1001,0)=0,"",XLOOKUP(C844,customers!$A$1:$A$1001,customers!$C$1:$C$1001,0))</f>
        <v>oskermen3@hatena.ne.jp</v>
      </c>
      <c r="H843" s="1" t="str">
        <f t="array" ref="H843">XLOOKUP(C843,customers!$A$1:$A$1001,customers!$F$1:$F$1001,0)</f>
        <v>El Paso</v>
      </c>
    </row>
    <row r="844" ht="15.75" customHeight="1">
      <c r="A844" s="1" t="s">
        <v>1643</v>
      </c>
      <c r="B844" s="2">
        <v>44502.0</v>
      </c>
      <c r="C844" s="1" t="s">
        <v>1613</v>
      </c>
      <c r="D844" s="3" t="s">
        <v>77</v>
      </c>
      <c r="E844" s="1">
        <v>2.0</v>
      </c>
      <c r="F844" s="1">
        <f t="array" ref="F844">XLOOKUP(C844,customers!A843:A1843, customers!B843:B1843,0)</f>
        <v>0</v>
      </c>
      <c r="G844" s="1" t="str">
        <f t="array" ref="G844">IF(XLOOKUP(C845,customers!$A$1:$A$1001,customers!$C$1:$C$1001,0)=0,"",XLOOKUP(C845,customers!$A$1:$A$1001,customers!$C$1:$C$1001,0))</f>
        <v>ddrewittnf@mapquest.com</v>
      </c>
      <c r="H844" s="1" t="str">
        <f t="array" ref="H844">XLOOKUP(C844,customers!$A$1:$A$1001,customers!$F$1:$F$1001,0)</f>
        <v>Oklahoma City</v>
      </c>
    </row>
    <row r="845" ht="15.75" customHeight="1">
      <c r="A845" s="1" t="s">
        <v>1644</v>
      </c>
      <c r="B845" s="2">
        <v>44387.0</v>
      </c>
      <c r="C845" s="1" t="s">
        <v>1645</v>
      </c>
      <c r="D845" s="3" t="s">
        <v>77</v>
      </c>
      <c r="E845" s="1">
        <v>2.0</v>
      </c>
      <c r="F845" s="1" t="str">
        <f t="array" ref="F845">XLOOKUP(C845,customers!A844:A1844, customers!B844:B1844,0)</f>
        <v>De Drewitt</v>
      </c>
      <c r="G845" s="1" t="str">
        <f t="array" ref="G845">IF(XLOOKUP(C846,customers!$A$1:$A$1001,customers!$C$1:$C$1001,0)=0,"",XLOOKUP(C846,customers!$A$1:$A$1001,customers!$C$1:$C$1001,0))</f>
        <v>agladhillng@stanford.edu</v>
      </c>
      <c r="H845" s="1" t="str">
        <f t="array" ref="H845">XLOOKUP(C845,customers!$A$1:$A$1001,customers!$F$1:$F$1001,0)</f>
        <v>Alexandria</v>
      </c>
    </row>
    <row r="846" ht="15.75" customHeight="1">
      <c r="A846" s="1" t="s">
        <v>1646</v>
      </c>
      <c r="B846" s="2">
        <v>44476.0</v>
      </c>
      <c r="C846" s="1" t="s">
        <v>1647</v>
      </c>
      <c r="D846" s="3" t="s">
        <v>85</v>
      </c>
      <c r="E846" s="1">
        <v>6.0</v>
      </c>
      <c r="F846" s="1" t="str">
        <f t="array" ref="F846">XLOOKUP(C846,customers!A845:A1845, customers!B845:B1845,0)</f>
        <v>Adelheid Gladhill</v>
      </c>
      <c r="G846" s="1" t="str">
        <f t="array" ref="G846">IF(XLOOKUP(C847,customers!$A$1:$A$1001,customers!$C$1:$C$1001,0)=0,"",XLOOKUP(C847,customers!$A$1:$A$1001,customers!$C$1:$C$1001,0))</f>
        <v>mlorineznh@whitehouse.gov</v>
      </c>
      <c r="H846" s="1" t="str">
        <f t="array" ref="H846">XLOOKUP(C846,customers!$A$1:$A$1001,customers!$F$1:$F$1001,0)</f>
        <v>Baltimore</v>
      </c>
    </row>
    <row r="847" ht="15.75" customHeight="1">
      <c r="A847" s="1" t="s">
        <v>1648</v>
      </c>
      <c r="B847" s="2">
        <v>43889.0</v>
      </c>
      <c r="C847" s="1" t="s">
        <v>1649</v>
      </c>
      <c r="D847" s="3" t="s">
        <v>543</v>
      </c>
      <c r="E847" s="1">
        <v>6.0</v>
      </c>
      <c r="F847" s="1" t="str">
        <f t="array" ref="F847">XLOOKUP(C847,customers!A846:A1846, customers!B846:B1846,0)</f>
        <v>Murielle Lorinez</v>
      </c>
      <c r="G847" s="1" t="str">
        <f t="array" ref="G847">IF(XLOOKUP(C848,customers!$A$1:$A$1001,customers!$C$1:$C$1001,0)=0,"",XLOOKUP(C848,customers!$A$1:$A$1001,customers!$C$1:$C$1001,0))</f>
        <v/>
      </c>
      <c r="H847" s="1" t="str">
        <f t="array" ref="H847">XLOOKUP(C847,customers!$A$1:$A$1001,customers!$F$1:$F$1001,0)</f>
        <v>Evansville</v>
      </c>
    </row>
    <row r="848" ht="15.75" customHeight="1">
      <c r="A848" s="1" t="s">
        <v>1650</v>
      </c>
      <c r="B848" s="2">
        <v>44747.0</v>
      </c>
      <c r="C848" s="1" t="s">
        <v>1651</v>
      </c>
      <c r="D848" s="3" t="s">
        <v>184</v>
      </c>
      <c r="E848" s="1">
        <v>2.0</v>
      </c>
      <c r="F848" s="1" t="str">
        <f t="array" ref="F848">XLOOKUP(C848,customers!A847:A1847, customers!B847:B1847,0)</f>
        <v>Edin Mathe</v>
      </c>
      <c r="G848" s="1" t="str">
        <f t="array" ref="G848">IF(XLOOKUP(C849,customers!$A$1:$A$1001,customers!$C$1:$C$1001,0)=0,"",XLOOKUP(C849,customers!$A$1:$A$1001,customers!$C$1:$C$1001,0))</f>
        <v>mvannj@wikipedia.org</v>
      </c>
      <c r="H848" s="1" t="str">
        <f t="array" ref="H848">XLOOKUP(C848,customers!$A$1:$A$1001,customers!$F$1:$F$1001,0)</f>
        <v>Lawrenceville</v>
      </c>
    </row>
    <row r="849" ht="15.75" customHeight="1">
      <c r="A849" s="1" t="s">
        <v>1652</v>
      </c>
      <c r="B849" s="2">
        <v>44460.0</v>
      </c>
      <c r="C849" s="1" t="s">
        <v>1653</v>
      </c>
      <c r="D849" s="3" t="s">
        <v>67</v>
      </c>
      <c r="E849" s="1">
        <v>3.0</v>
      </c>
      <c r="F849" s="1" t="str">
        <f t="array" ref="F849">XLOOKUP(C849,customers!A848:A1848, customers!B848:B1848,0)</f>
        <v>Mordy Van Der Vlies</v>
      </c>
      <c r="G849" s="1" t="str">
        <f t="array" ref="G849">IF(XLOOKUP(C850,customers!$A$1:$A$1001,customers!$C$1:$C$1001,0)=0,"",XLOOKUP(C850,customers!$A$1:$A$1001,customers!$C$1:$C$1001,0))</f>
        <v/>
      </c>
      <c r="H849" s="1" t="str">
        <f t="array" ref="H849">XLOOKUP(C849,customers!$A$1:$A$1001,customers!$F$1:$F$1001,0)</f>
        <v>Mobile</v>
      </c>
    </row>
    <row r="850" ht="15.75" customHeight="1">
      <c r="A850" s="1" t="s">
        <v>1654</v>
      </c>
      <c r="B850" s="2">
        <v>43468.0</v>
      </c>
      <c r="C850" s="1" t="s">
        <v>1655</v>
      </c>
      <c r="D850" s="3" t="s">
        <v>189</v>
      </c>
      <c r="E850" s="1">
        <v>6.0</v>
      </c>
      <c r="F850" s="1" t="str">
        <f t="array" ref="F850">XLOOKUP(C850,customers!A849:A1849, customers!B849:B1849,0)</f>
        <v>Spencer Wastell</v>
      </c>
      <c r="G850" s="1" t="str">
        <f t="array" ref="G850">IF(XLOOKUP(C851,customers!$A$1:$A$1001,customers!$C$1:$C$1001,0)=0,"",XLOOKUP(C851,customers!$A$1:$A$1001,customers!$C$1:$C$1001,0))</f>
        <v>jethelstonnl@creativecommons.org</v>
      </c>
      <c r="H850" s="1" t="str">
        <f t="array" ref="H850">XLOOKUP(C850,customers!$A$1:$A$1001,customers!$F$1:$F$1001,0)</f>
        <v>Midland</v>
      </c>
    </row>
    <row r="851" ht="15.75" customHeight="1">
      <c r="A851" s="1" t="s">
        <v>1656</v>
      </c>
      <c r="B851" s="2">
        <v>44628.0</v>
      </c>
      <c r="C851" s="1" t="s">
        <v>1657</v>
      </c>
      <c r="D851" s="3" t="s">
        <v>128</v>
      </c>
      <c r="E851" s="1">
        <v>6.0</v>
      </c>
      <c r="F851" s="1" t="str">
        <f t="array" ref="F851">XLOOKUP(C851,customers!A850:A1850, customers!B850:B1850,0)</f>
        <v>Jemimah Ethelston</v>
      </c>
      <c r="G851" s="1" t="str">
        <f t="array" ref="G851">IF(XLOOKUP(C852,customers!$A$1:$A$1001,customers!$C$1:$C$1001,0)=0,"",XLOOKUP(C852,customers!$A$1:$A$1001,customers!$C$1:$C$1001,0))</f>
        <v>jethelstonnl@creativecommons.org</v>
      </c>
      <c r="H851" s="1" t="str">
        <f t="array" ref="H851">XLOOKUP(C851,customers!$A$1:$A$1001,customers!$F$1:$F$1001,0)</f>
        <v>Hollywood</v>
      </c>
    </row>
    <row r="852" ht="15.75" customHeight="1">
      <c r="A852" s="1" t="s">
        <v>1656</v>
      </c>
      <c r="B852" s="2">
        <v>44628.0</v>
      </c>
      <c r="C852" s="1" t="s">
        <v>1657</v>
      </c>
      <c r="D852" s="3" t="s">
        <v>57</v>
      </c>
      <c r="E852" s="1">
        <v>2.0</v>
      </c>
      <c r="F852" s="1" t="str">
        <f t="array" ref="F852">XLOOKUP(C852,customers!A851:A1851, customers!B851:B1851,0)</f>
        <v>Jemimah Ethelston</v>
      </c>
      <c r="G852" s="1" t="str">
        <f t="array" ref="G852">IF(XLOOKUP(C853,customers!$A$1:$A$1001,customers!$C$1:$C$1001,0)=0,"",XLOOKUP(C853,customers!$A$1:$A$1001,customers!$C$1:$C$1001,0))</f>
        <v>peberznn@woothemes.com</v>
      </c>
      <c r="H852" s="1" t="str">
        <f t="array" ref="H852">XLOOKUP(C852,customers!$A$1:$A$1001,customers!$F$1:$F$1001,0)</f>
        <v>Hollywood</v>
      </c>
    </row>
    <row r="853" ht="15.75" customHeight="1">
      <c r="A853" s="1" t="s">
        <v>1658</v>
      </c>
      <c r="B853" s="2">
        <v>43900.0</v>
      </c>
      <c r="C853" s="1" t="s">
        <v>1659</v>
      </c>
      <c r="D853" s="3" t="s">
        <v>136</v>
      </c>
      <c r="E853" s="1">
        <v>1.0</v>
      </c>
      <c r="F853" s="1" t="str">
        <f t="array" ref="F853">XLOOKUP(C853,customers!A852:A1852, customers!B852:B1852,0)</f>
        <v>Perice Eberz</v>
      </c>
      <c r="G853" s="1" t="str">
        <f t="array" ref="G853">IF(XLOOKUP(C854,customers!$A$1:$A$1001,customers!$C$1:$C$1001,0)=0,"",XLOOKUP(C854,customers!$A$1:$A$1001,customers!$C$1:$C$1001,0))</f>
        <v>bgaishno@altervista.org</v>
      </c>
      <c r="H853" s="1" t="str">
        <f t="array" ref="H853">XLOOKUP(C853,customers!$A$1:$A$1001,customers!$F$1:$F$1001,0)</f>
        <v>Chico</v>
      </c>
    </row>
    <row r="854" ht="15.75" customHeight="1">
      <c r="A854" s="1" t="s">
        <v>1660</v>
      </c>
      <c r="B854" s="2">
        <v>44527.0</v>
      </c>
      <c r="C854" s="1" t="s">
        <v>1661</v>
      </c>
      <c r="D854" s="3" t="s">
        <v>122</v>
      </c>
      <c r="E854" s="1">
        <v>4.0</v>
      </c>
      <c r="F854" s="1" t="str">
        <f t="array" ref="F854">XLOOKUP(C854,customers!A853:A1853, customers!B853:B1853,0)</f>
        <v>Bear Gaish</v>
      </c>
      <c r="G854" s="1" t="str">
        <f t="array" ref="G854">IF(XLOOKUP(C855,customers!$A$1:$A$1001,customers!$C$1:$C$1001,0)=0,"",XLOOKUP(C855,customers!$A$1:$A$1001,customers!$C$1:$C$1001,0))</f>
        <v>ldantonnp@miitbeian.gov.cn</v>
      </c>
      <c r="H854" s="1" t="str">
        <f t="array" ref="H854">XLOOKUP(C854,customers!$A$1:$A$1001,customers!$F$1:$F$1001,0)</f>
        <v>Austin</v>
      </c>
    </row>
    <row r="855" ht="15.75" customHeight="1">
      <c r="A855" s="1" t="s">
        <v>1662</v>
      </c>
      <c r="B855" s="2">
        <v>44259.0</v>
      </c>
      <c r="C855" s="1" t="s">
        <v>1663</v>
      </c>
      <c r="D855" s="3" t="s">
        <v>40</v>
      </c>
      <c r="E855" s="1">
        <v>2.0</v>
      </c>
      <c r="F855" s="1" t="str">
        <f t="array" ref="F855">XLOOKUP(C855,customers!A854:A1854, customers!B854:B1854,0)</f>
        <v>Lynnea Danton</v>
      </c>
      <c r="G855" s="1" t="str">
        <f t="array" ref="G855">IF(XLOOKUP(C856,customers!$A$1:$A$1001,customers!$C$1:$C$1001,0)=0,"",XLOOKUP(C856,customers!$A$1:$A$1001,customers!$C$1:$C$1001,0))</f>
        <v>smorrallnq@answers.com</v>
      </c>
      <c r="H855" s="1" t="str">
        <f t="array" ref="H855">XLOOKUP(C855,customers!$A$1:$A$1001,customers!$F$1:$F$1001,0)</f>
        <v>El Paso</v>
      </c>
    </row>
    <row r="856" ht="15.75" customHeight="1">
      <c r="A856" s="1" t="s">
        <v>1664</v>
      </c>
      <c r="B856" s="2">
        <v>44516.0</v>
      </c>
      <c r="C856" s="1" t="s">
        <v>1665</v>
      </c>
      <c r="D856" s="3" t="s">
        <v>170</v>
      </c>
      <c r="E856" s="1">
        <v>5.0</v>
      </c>
      <c r="F856" s="1" t="str">
        <f t="array" ref="F856">XLOOKUP(C856,customers!A855:A1855, customers!B855:B1855,0)</f>
        <v>Skipton Morrall</v>
      </c>
      <c r="G856" s="1" t="str">
        <f t="array" ref="G856">IF(XLOOKUP(C857,customers!$A$1:$A$1001,customers!$C$1:$C$1001,0)=0,"",XLOOKUP(C857,customers!$A$1:$A$1001,customers!$C$1:$C$1001,0))</f>
        <v>dcrownshawnr@photobucket.com</v>
      </c>
      <c r="H856" s="1" t="str">
        <f t="array" ref="H856">XLOOKUP(C856,customers!$A$1:$A$1001,customers!$F$1:$F$1001,0)</f>
        <v>Charleston</v>
      </c>
    </row>
    <row r="857" ht="15.75" customHeight="1">
      <c r="A857" s="1" t="s">
        <v>1666</v>
      </c>
      <c r="B857" s="2">
        <v>43632.0</v>
      </c>
      <c r="C857" s="1" t="s">
        <v>1667</v>
      </c>
      <c r="D857" s="3" t="s">
        <v>122</v>
      </c>
      <c r="E857" s="1">
        <v>3.0</v>
      </c>
      <c r="F857" s="1" t="str">
        <f t="array" ref="F857">XLOOKUP(C857,customers!A856:A1856, customers!B856:B1856,0)</f>
        <v>Devan Crownshaw</v>
      </c>
      <c r="G857" s="1" t="str">
        <f t="array" ref="G857">IF(XLOOKUP(C858,customers!$A$1:$A$1001,customers!$C$1:$C$1001,0)=0,"",XLOOKUP(C858,customers!$A$1:$A$1001,customers!$C$1:$C$1001,0))</f>
        <v>oskermen3@hatena.ne.jp</v>
      </c>
      <c r="H857" s="1" t="str">
        <f t="array" ref="H857">XLOOKUP(C857,customers!$A$1:$A$1001,customers!$F$1:$F$1001,0)</f>
        <v>Allentown</v>
      </c>
    </row>
    <row r="858" ht="15.75" customHeight="1">
      <c r="A858" s="1" t="s">
        <v>1668</v>
      </c>
      <c r="B858" s="2">
        <v>44031.0</v>
      </c>
      <c r="C858" s="1" t="s">
        <v>1613</v>
      </c>
      <c r="D858" s="3" t="s">
        <v>90</v>
      </c>
      <c r="E858" s="1">
        <v>2.0</v>
      </c>
      <c r="F858" s="1">
        <f t="array" ref="F858">XLOOKUP(C858,customers!A857:A1857, customers!B857:B1857,0)</f>
        <v>0</v>
      </c>
      <c r="G858" s="1" t="str">
        <f t="array" ref="G858">IF(XLOOKUP(C859,customers!$A$1:$A$1001,customers!$C$1:$C$1001,0)=0,"",XLOOKUP(C859,customers!$A$1:$A$1001,customers!$C$1:$C$1001,0))</f>
        <v>jreddochnt@sun.com</v>
      </c>
      <c r="H858" s="1" t="str">
        <f t="array" ref="H858">XLOOKUP(C858,customers!$A$1:$A$1001,customers!$F$1:$F$1001,0)</f>
        <v>Oklahoma City</v>
      </c>
    </row>
    <row r="859" ht="15.75" customHeight="1">
      <c r="A859" s="1" t="s">
        <v>1669</v>
      </c>
      <c r="B859" s="2">
        <v>43889.0</v>
      </c>
      <c r="C859" s="1" t="s">
        <v>1670</v>
      </c>
      <c r="D859" s="3" t="s">
        <v>23</v>
      </c>
      <c r="E859" s="1">
        <v>5.0</v>
      </c>
      <c r="F859" s="1" t="str">
        <f t="array" ref="F859">XLOOKUP(C859,customers!A858:A1858, customers!B858:B1858,0)</f>
        <v>Joceline Reddoch</v>
      </c>
      <c r="G859" s="1" t="str">
        <f t="array" ref="G859">IF(XLOOKUP(C860,customers!$A$1:$A$1001,customers!$C$1:$C$1001,0)=0,"",XLOOKUP(C860,customers!$A$1:$A$1001,customers!$C$1:$C$1001,0))</f>
        <v>stitleynu@whitehouse.gov</v>
      </c>
      <c r="H859" s="1" t="str">
        <f t="array" ref="H859">XLOOKUP(C859,customers!$A$1:$A$1001,customers!$F$1:$F$1001,0)</f>
        <v>Largo</v>
      </c>
    </row>
    <row r="860" ht="15.75" customHeight="1">
      <c r="A860" s="1" t="s">
        <v>1671</v>
      </c>
      <c r="B860" s="2">
        <v>43638.0</v>
      </c>
      <c r="C860" s="1" t="s">
        <v>1672</v>
      </c>
      <c r="D860" s="3" t="s">
        <v>91</v>
      </c>
      <c r="E860" s="1">
        <v>4.0</v>
      </c>
      <c r="F860" s="1" t="str">
        <f t="array" ref="F860">XLOOKUP(C860,customers!A859:A1859, customers!B859:B1859,0)</f>
        <v>Shelley Titley</v>
      </c>
      <c r="G860" s="1" t="str">
        <f t="array" ref="G860">IF(XLOOKUP(C861,customers!$A$1:$A$1001,customers!$C$1:$C$1001,0)=0,"",XLOOKUP(C861,customers!$A$1:$A$1001,customers!$C$1:$C$1001,0))</f>
        <v>rsimaonv@simplemachines.org</v>
      </c>
      <c r="H860" s="1" t="str">
        <f t="array" ref="H860">XLOOKUP(C860,customers!$A$1:$A$1001,customers!$F$1:$F$1001,0)</f>
        <v>Fargo</v>
      </c>
    </row>
    <row r="861" ht="15.75" customHeight="1">
      <c r="A861" s="1" t="s">
        <v>1673</v>
      </c>
      <c r="B861" s="2">
        <v>43716.0</v>
      </c>
      <c r="C861" s="1" t="s">
        <v>1674</v>
      </c>
      <c r="D861" s="3" t="s">
        <v>217</v>
      </c>
      <c r="E861" s="1">
        <v>6.0</v>
      </c>
      <c r="F861" s="1" t="str">
        <f t="array" ref="F861">XLOOKUP(C861,customers!A860:A1860, customers!B860:B1860,0)</f>
        <v>Redd Simao</v>
      </c>
      <c r="G861" s="1" t="str">
        <f t="array" ref="G861">IF(XLOOKUP(C862,customers!$A$1:$A$1001,customers!$C$1:$C$1001,0)=0,"",XLOOKUP(C862,customers!$A$1:$A$1001,customers!$C$1:$C$1001,0))</f>
        <v/>
      </c>
      <c r="H861" s="1" t="str">
        <f t="array" ref="H861">XLOOKUP(C861,customers!$A$1:$A$1001,customers!$F$1:$F$1001,0)</f>
        <v>Fort Smith</v>
      </c>
    </row>
    <row r="862" ht="15.75" customHeight="1">
      <c r="A862" s="1" t="s">
        <v>1675</v>
      </c>
      <c r="B862" s="2">
        <v>44707.0</v>
      </c>
      <c r="C862" s="1" t="s">
        <v>1676</v>
      </c>
      <c r="D862" s="3" t="s">
        <v>184</v>
      </c>
      <c r="E862" s="1">
        <v>1.0</v>
      </c>
      <c r="F862" s="1" t="str">
        <f t="array" ref="F862">XLOOKUP(C862,customers!A861:A1861, customers!B861:B1861,0)</f>
        <v>Cece Inker</v>
      </c>
      <c r="G862" s="1" t="str">
        <f t="array" ref="G862">IF(XLOOKUP(C863,customers!$A$1:$A$1001,customers!$C$1:$C$1001,0)=0,"",XLOOKUP(C863,customers!$A$1:$A$1001,customers!$C$1:$C$1001,0))</f>
        <v>nchisholmnx@example.com</v>
      </c>
      <c r="H862" s="1" t="str">
        <f t="array" ref="H862">XLOOKUP(C862,customers!$A$1:$A$1001,customers!$F$1:$F$1001,0)</f>
        <v>Lakeland</v>
      </c>
    </row>
    <row r="863" ht="15.75" customHeight="1">
      <c r="A863" s="1" t="s">
        <v>1677</v>
      </c>
      <c r="B863" s="2">
        <v>43802.0</v>
      </c>
      <c r="C863" s="1" t="s">
        <v>1678</v>
      </c>
      <c r="D863" s="3" t="s">
        <v>26</v>
      </c>
      <c r="E863" s="1">
        <v>6.0</v>
      </c>
      <c r="F863" s="1" t="str">
        <f t="array" ref="F863">XLOOKUP(C863,customers!A862:A1862, customers!B862:B1862,0)</f>
        <v>Noel Chisholm</v>
      </c>
      <c r="G863" s="1" t="str">
        <f t="array" ref="G863">IF(XLOOKUP(C864,customers!$A$1:$A$1001,customers!$C$1:$C$1001,0)=0,"",XLOOKUP(C864,customers!$A$1:$A$1001,customers!$C$1:$C$1001,0))</f>
        <v>goatsny@live.com</v>
      </c>
      <c r="H863" s="1" t="str">
        <f t="array" ref="H863">XLOOKUP(C863,customers!$A$1:$A$1001,customers!$F$1:$F$1001,0)</f>
        <v>Knoxville</v>
      </c>
    </row>
    <row r="864" ht="15.75" customHeight="1">
      <c r="A864" s="1" t="s">
        <v>1679</v>
      </c>
      <c r="B864" s="2">
        <v>43725.0</v>
      </c>
      <c r="C864" s="1" t="s">
        <v>1680</v>
      </c>
      <c r="D864" s="3" t="s">
        <v>15</v>
      </c>
      <c r="E864" s="1">
        <v>1.0</v>
      </c>
      <c r="F864" s="1" t="str">
        <f t="array" ref="F864">XLOOKUP(C864,customers!A863:A1863, customers!B863:B1863,0)</f>
        <v>Grazia Oats</v>
      </c>
      <c r="G864" s="1" t="str">
        <f t="array" ref="G864">IF(XLOOKUP(C865,customers!$A$1:$A$1001,customers!$C$1:$C$1001,0)=0,"",XLOOKUP(C865,customers!$A$1:$A$1001,customers!$C$1:$C$1001,0))</f>
        <v>mbirkinnz@java.com</v>
      </c>
      <c r="H864" s="1" t="str">
        <f t="array" ref="H864">XLOOKUP(C864,customers!$A$1:$A$1001,customers!$F$1:$F$1001,0)</f>
        <v>Los Angeles</v>
      </c>
    </row>
    <row r="865" ht="15.75" customHeight="1">
      <c r="A865" s="1" t="s">
        <v>1681</v>
      </c>
      <c r="B865" s="2">
        <v>44712.0</v>
      </c>
      <c r="C865" s="1" t="s">
        <v>1682</v>
      </c>
      <c r="D865" s="3" t="s">
        <v>109</v>
      </c>
      <c r="E865" s="1">
        <v>2.0</v>
      </c>
      <c r="F865" s="1" t="str">
        <f t="array" ref="F865">XLOOKUP(C865,customers!A864:A1864, customers!B864:B1864,0)</f>
        <v>Meade Birkin</v>
      </c>
      <c r="G865" s="1" t="str">
        <f t="array" ref="G865">IF(XLOOKUP(C866,customers!$A$1:$A$1001,customers!$C$1:$C$1001,0)=0,"",XLOOKUP(C866,customers!$A$1:$A$1001,customers!$C$1:$C$1001,0))</f>
        <v>rpysono0@constantcontact.com</v>
      </c>
      <c r="H865" s="1" t="str">
        <f t="array" ref="H865">XLOOKUP(C865,customers!$A$1:$A$1001,customers!$F$1:$F$1001,0)</f>
        <v>Miami</v>
      </c>
    </row>
    <row r="866" ht="15.75" customHeight="1">
      <c r="A866" s="1" t="s">
        <v>1683</v>
      </c>
      <c r="B866" s="2">
        <v>43759.0</v>
      </c>
      <c r="C866" s="1" t="s">
        <v>1684</v>
      </c>
      <c r="D866" s="3" t="s">
        <v>195</v>
      </c>
      <c r="E866" s="1">
        <v>6.0</v>
      </c>
      <c r="F866" s="1" t="str">
        <f t="array" ref="F866">XLOOKUP(C866,customers!A865:A1865, customers!B865:B1865,0)</f>
        <v>Ronda Pyson</v>
      </c>
      <c r="G866" s="1" t="str">
        <f t="array" ref="G866">IF(XLOOKUP(C867,customers!$A$1:$A$1001,customers!$C$1:$C$1001,0)=0,"",XLOOKUP(C867,customers!$A$1:$A$1001,customers!$C$1:$C$1001,0))</f>
        <v>mmacconnechieo9@reuters.com</v>
      </c>
      <c r="H866" s="1" t="str">
        <f t="array" ref="H866">XLOOKUP(C866,customers!$A$1:$A$1001,customers!$F$1:$F$1001,0)</f>
        <v>Clones</v>
      </c>
    </row>
    <row r="867" ht="15.75" customHeight="1">
      <c r="A867" s="1" t="s">
        <v>1685</v>
      </c>
      <c r="B867" s="2">
        <v>44675.0</v>
      </c>
      <c r="C867" s="1" t="s">
        <v>1686</v>
      </c>
      <c r="D867" s="3" t="s">
        <v>80</v>
      </c>
      <c r="E867" s="1">
        <v>1.0</v>
      </c>
      <c r="F867" s="1" t="str">
        <f t="array" ref="F867">XLOOKUP(C867,customers!A866:A1866, customers!B866:B1866,0)</f>
        <v>Modesty MacConnechie</v>
      </c>
      <c r="G867" s="1" t="str">
        <f t="array" ref="G867">IF(XLOOKUP(C868,customers!$A$1:$A$1001,customers!$C$1:$C$1001,0)=0,"",XLOOKUP(C868,customers!$A$1:$A$1001,customers!$C$1:$C$1001,0))</f>
        <v>rtreachero2@usa.gov</v>
      </c>
      <c r="H867" s="1" t="str">
        <f t="array" ref="H867">XLOOKUP(C867,customers!$A$1:$A$1001,customers!$F$1:$F$1001,0)</f>
        <v>Charleston</v>
      </c>
    </row>
    <row r="868" ht="15.75" customHeight="1">
      <c r="A868" s="1" t="s">
        <v>1687</v>
      </c>
      <c r="B868" s="2">
        <v>44209.0</v>
      </c>
      <c r="C868" s="1" t="s">
        <v>1688</v>
      </c>
      <c r="D868" s="3" t="s">
        <v>85</v>
      </c>
      <c r="E868" s="1">
        <v>3.0</v>
      </c>
      <c r="F868" s="1" t="str">
        <f t="array" ref="F868">XLOOKUP(C868,customers!A867:A1867, customers!B867:B1867,0)</f>
        <v>Rafaela Treacher</v>
      </c>
      <c r="G868" s="1" t="str">
        <f t="array" ref="G868">IF(XLOOKUP(C869,customers!$A$1:$A$1001,customers!$C$1:$C$1001,0)=0,"",XLOOKUP(C869,customers!$A$1:$A$1001,customers!$C$1:$C$1001,0))</f>
        <v>bfattorinio3@quantcast.com</v>
      </c>
      <c r="H868" s="1" t="str">
        <f t="array" ref="H868">XLOOKUP(C868,customers!$A$1:$A$1001,customers!$F$1:$F$1001,0)</f>
        <v>Greystones</v>
      </c>
    </row>
    <row r="869" ht="15.75" customHeight="1">
      <c r="A869" s="1" t="s">
        <v>1689</v>
      </c>
      <c r="B869" s="2">
        <v>44792.0</v>
      </c>
      <c r="C869" s="1" t="s">
        <v>1690</v>
      </c>
      <c r="D869" s="3" t="s">
        <v>217</v>
      </c>
      <c r="E869" s="1">
        <v>1.0</v>
      </c>
      <c r="F869" s="1" t="str">
        <f t="array" ref="F869">XLOOKUP(C869,customers!A868:A1868, customers!B868:B1868,0)</f>
        <v>Bee Fattorini</v>
      </c>
      <c r="G869" s="1" t="str">
        <f t="array" ref="G869">IF(XLOOKUP(C870,customers!$A$1:$A$1001,customers!$C$1:$C$1001,0)=0,"",XLOOKUP(C870,customers!$A$1:$A$1001,customers!$C$1:$C$1001,0))</f>
        <v>mpalleskeo4@nyu.edu</v>
      </c>
      <c r="H869" s="1" t="str">
        <f t="array" ref="H869">XLOOKUP(C869,customers!$A$1:$A$1001,customers!$F$1:$F$1001,0)</f>
        <v>Monaghan</v>
      </c>
    </row>
    <row r="870" ht="15.75" customHeight="1">
      <c r="A870" s="1" t="s">
        <v>1691</v>
      </c>
      <c r="B870" s="2">
        <v>43526.0</v>
      </c>
      <c r="C870" s="1" t="s">
        <v>1692</v>
      </c>
      <c r="D870" s="3" t="s">
        <v>16</v>
      </c>
      <c r="E870" s="1">
        <v>5.0</v>
      </c>
      <c r="F870" s="1" t="str">
        <f t="array" ref="F870">XLOOKUP(C870,customers!A869:A1869, customers!B869:B1869,0)</f>
        <v>Margie Palleske</v>
      </c>
      <c r="G870" s="1" t="str">
        <f t="array" ref="G870">IF(XLOOKUP(C871,customers!$A$1:$A$1001,customers!$C$1:$C$1001,0)=0,"",XLOOKUP(C871,customers!$A$1:$A$1001,customers!$C$1:$C$1001,0))</f>
        <v/>
      </c>
      <c r="H870" s="1" t="str">
        <f t="array" ref="H870">XLOOKUP(C870,customers!$A$1:$A$1001,customers!$F$1:$F$1001,0)</f>
        <v>Pompano Beach</v>
      </c>
    </row>
    <row r="871" ht="15.75" customHeight="1">
      <c r="A871" s="1" t="s">
        <v>1693</v>
      </c>
      <c r="B871" s="2">
        <v>43851.0</v>
      </c>
      <c r="C871" s="1" t="s">
        <v>1694</v>
      </c>
      <c r="D871" s="3" t="s">
        <v>35</v>
      </c>
      <c r="E871" s="1">
        <v>3.0</v>
      </c>
      <c r="F871" s="1" t="str">
        <f t="array" ref="F871">XLOOKUP(C871,customers!A870:A1870, customers!B870:B1870,0)</f>
        <v>Alexina Randals</v>
      </c>
      <c r="G871" s="1" t="str">
        <f t="array" ref="G871">IF(XLOOKUP(C872,customers!$A$1:$A$1001,customers!$C$1:$C$1001,0)=0,"",XLOOKUP(C872,customers!$A$1:$A$1001,customers!$C$1:$C$1001,0))</f>
        <v>fantcliffeo6@amazon.co.jp</v>
      </c>
      <c r="H871" s="1" t="str">
        <f t="array" ref="H871">XLOOKUP(C871,customers!$A$1:$A$1001,customers!$F$1:$F$1001,0)</f>
        <v>Sacramento</v>
      </c>
    </row>
    <row r="872" ht="15.75" customHeight="1">
      <c r="A872" s="1" t="s">
        <v>1695</v>
      </c>
      <c r="B872" s="2">
        <v>44460.0</v>
      </c>
      <c r="C872" s="1" t="s">
        <v>1696</v>
      </c>
      <c r="D872" s="3" t="s">
        <v>29</v>
      </c>
      <c r="E872" s="1">
        <v>1.0</v>
      </c>
      <c r="F872" s="1" t="str">
        <f t="array" ref="F872">XLOOKUP(C872,customers!A871:A1871, customers!B871:B1871,0)</f>
        <v>Filip Antcliffe</v>
      </c>
      <c r="G872" s="1" t="str">
        <f t="array" ref="G872">IF(XLOOKUP(C873,customers!$A$1:$A$1001,customers!$C$1:$C$1001,0)=0,"",XLOOKUP(C873,customers!$A$1:$A$1001,customers!$C$1:$C$1001,0))</f>
        <v>pmatignono7@harvard.edu</v>
      </c>
      <c r="H872" s="1" t="str">
        <f t="array" ref="H872">XLOOKUP(C872,customers!$A$1:$A$1001,customers!$F$1:$F$1001,0)</f>
        <v>Clonskeagh</v>
      </c>
    </row>
    <row r="873" ht="15.75" customHeight="1">
      <c r="A873" s="1" t="s">
        <v>1697</v>
      </c>
      <c r="B873" s="2">
        <v>43707.0</v>
      </c>
      <c r="C873" s="1" t="s">
        <v>1698</v>
      </c>
      <c r="D873" s="3" t="s">
        <v>150</v>
      </c>
      <c r="E873" s="1">
        <v>2.0</v>
      </c>
      <c r="F873" s="1" t="str">
        <f t="array" ref="F873">XLOOKUP(C873,customers!A872:A1872, customers!B872:B1872,0)</f>
        <v>Peyter Matignon</v>
      </c>
      <c r="G873" s="1" t="str">
        <f t="array" ref="G873">IF(XLOOKUP(C874,customers!$A$1:$A$1001,customers!$C$1:$C$1001,0)=0,"",XLOOKUP(C874,customers!$A$1:$A$1001,customers!$C$1:$C$1001,0))</f>
        <v>cweondo8@theglobeandmail.com</v>
      </c>
      <c r="H873" s="1" t="str">
        <f t="array" ref="H873">XLOOKUP(C873,customers!$A$1:$A$1001,customers!$F$1:$F$1001,0)</f>
        <v>Kirkton</v>
      </c>
    </row>
    <row r="874" ht="15.75" customHeight="1">
      <c r="A874" s="1" t="s">
        <v>1699</v>
      </c>
      <c r="B874" s="2">
        <v>43521.0</v>
      </c>
      <c r="C874" s="1" t="s">
        <v>1700</v>
      </c>
      <c r="D874" s="3" t="s">
        <v>74</v>
      </c>
      <c r="E874" s="1">
        <v>2.0</v>
      </c>
      <c r="F874" s="1" t="str">
        <f t="array" ref="F874">XLOOKUP(C874,customers!A873:A1873, customers!B873:B1873,0)</f>
        <v>Claudie Weond</v>
      </c>
      <c r="G874" s="1" t="str">
        <f t="array" ref="G874">IF(XLOOKUP(C875,customers!$A$1:$A$1001,customers!$C$1:$C$1001,0)=0,"",XLOOKUP(C875,customers!$A$1:$A$1001,customers!$C$1:$C$1001,0))</f>
        <v>mmacconnechieo9@reuters.com</v>
      </c>
      <c r="H874" s="1" t="str">
        <f t="array" ref="H874">XLOOKUP(C874,customers!$A$1:$A$1001,customers!$F$1:$F$1001,0)</f>
        <v>Asheville</v>
      </c>
    </row>
    <row r="875" ht="15.75" customHeight="1">
      <c r="A875" s="1" t="s">
        <v>1701</v>
      </c>
      <c r="B875" s="2">
        <v>43725.0</v>
      </c>
      <c r="C875" s="1" t="s">
        <v>1686</v>
      </c>
      <c r="D875" s="3" t="s">
        <v>175</v>
      </c>
      <c r="E875" s="1">
        <v>4.0</v>
      </c>
      <c r="F875" s="1" t="str">
        <f t="array" ref="F875">XLOOKUP(C875,customers!A874:A1874, customers!B874:B1874,0)</f>
        <v>Modesty MacConnechie</v>
      </c>
      <c r="G875" s="1" t="str">
        <f t="array" ref="G875">IF(XLOOKUP(C876,customers!$A$1:$A$1001,customers!$C$1:$C$1001,0)=0,"",XLOOKUP(C876,customers!$A$1:$A$1001,customers!$C$1:$C$1001,0))</f>
        <v>jskentelberyoa@paypal.com</v>
      </c>
      <c r="H875" s="1" t="str">
        <f t="array" ref="H875">XLOOKUP(C875,customers!$A$1:$A$1001,customers!$F$1:$F$1001,0)</f>
        <v>Charleston</v>
      </c>
    </row>
    <row r="876" ht="15.75" customHeight="1">
      <c r="A876" s="1" t="s">
        <v>1702</v>
      </c>
      <c r="B876" s="2">
        <v>43680.0</v>
      </c>
      <c r="C876" s="1" t="s">
        <v>1703</v>
      </c>
      <c r="D876" s="3" t="s">
        <v>19</v>
      </c>
      <c r="E876" s="1">
        <v>2.0</v>
      </c>
      <c r="F876" s="1" t="str">
        <f t="array" ref="F876">XLOOKUP(C876,customers!A875:A1875, customers!B875:B1875,0)</f>
        <v>Jaquenette Skentelbery</v>
      </c>
      <c r="G876" s="1" t="str">
        <f t="array" ref="G876">IF(XLOOKUP(C877,customers!$A$1:$A$1001,customers!$C$1:$C$1001,0)=0,"",XLOOKUP(C877,customers!$A$1:$A$1001,customers!$C$1:$C$1001,0))</f>
        <v>ocomberob@goo.gl</v>
      </c>
      <c r="H876" s="1" t="str">
        <f t="array" ref="H876">XLOOKUP(C876,customers!$A$1:$A$1001,customers!$F$1:$F$1001,0)</f>
        <v>Houston</v>
      </c>
    </row>
    <row r="877" ht="15.75" customHeight="1">
      <c r="A877" s="1" t="s">
        <v>1704</v>
      </c>
      <c r="B877" s="2">
        <v>44253.0</v>
      </c>
      <c r="C877" s="1" t="s">
        <v>1705</v>
      </c>
      <c r="D877" s="3" t="s">
        <v>91</v>
      </c>
      <c r="E877" s="1">
        <v>5.0</v>
      </c>
      <c r="F877" s="1" t="str">
        <f t="array" ref="F877">XLOOKUP(C877,customers!A876:A1876, customers!B876:B1876,0)</f>
        <v>Orazio Comber</v>
      </c>
      <c r="G877" s="1" t="str">
        <f t="array" ref="G877">IF(XLOOKUP(C878,customers!$A$1:$A$1001,customers!$C$1:$C$1001,0)=0,"",XLOOKUP(C878,customers!$A$1:$A$1001,customers!$C$1:$C$1001,0))</f>
        <v>ocomberob@goo.gl</v>
      </c>
      <c r="H877" s="1" t="str">
        <f t="array" ref="H877">XLOOKUP(C877,customers!$A$1:$A$1001,customers!$F$1:$F$1001,0)</f>
        <v>Confey</v>
      </c>
    </row>
    <row r="878" ht="15.75" customHeight="1">
      <c r="A878" s="1" t="s">
        <v>1704</v>
      </c>
      <c r="B878" s="2">
        <v>44253.0</v>
      </c>
      <c r="C878" s="1" t="s">
        <v>1705</v>
      </c>
      <c r="D878" s="3" t="s">
        <v>205</v>
      </c>
      <c r="E878" s="1">
        <v>6.0</v>
      </c>
      <c r="F878" s="1" t="str">
        <f t="array" ref="F878">XLOOKUP(C878,customers!A877:A1877, customers!B877:B1877,0)</f>
        <v>Orazio Comber</v>
      </c>
      <c r="G878" s="1" t="str">
        <f t="array" ref="G878">IF(XLOOKUP(C879,customers!$A$1:$A$1001,customers!$C$1:$C$1001,0)=0,"",XLOOKUP(C879,customers!$A$1:$A$1001,customers!$C$1:$C$1001,0))</f>
        <v>ztramelod@netlog.com</v>
      </c>
      <c r="H878" s="1" t="str">
        <f t="array" ref="H878">XLOOKUP(C878,customers!$A$1:$A$1001,customers!$F$1:$F$1001,0)</f>
        <v>Confey</v>
      </c>
    </row>
    <row r="879" ht="15.75" customHeight="1">
      <c r="A879" s="1" t="s">
        <v>1706</v>
      </c>
      <c r="B879" s="2">
        <v>44411.0</v>
      </c>
      <c r="C879" s="1" t="s">
        <v>1707</v>
      </c>
      <c r="D879" s="3" t="s">
        <v>96</v>
      </c>
      <c r="E879" s="1">
        <v>3.0</v>
      </c>
      <c r="F879" s="1" t="str">
        <f t="array" ref="F879">XLOOKUP(C879,customers!A878:A1878, customers!B878:B1878,0)</f>
        <v>Zachary Tramel</v>
      </c>
      <c r="G879" s="1" t="str">
        <f t="array" ref="G879">IF(XLOOKUP(C880,customers!$A$1:$A$1001,customers!$C$1:$C$1001,0)=0,"",XLOOKUP(C880,customers!$A$1:$A$1001,customers!$C$1:$C$1001,0))</f>
        <v/>
      </c>
      <c r="H879" s="1" t="str">
        <f t="array" ref="H879">XLOOKUP(C879,customers!$A$1:$A$1001,customers!$F$1:$F$1001,0)</f>
        <v>Newark</v>
      </c>
    </row>
    <row r="880" ht="15.75" customHeight="1">
      <c r="A880" s="1" t="s">
        <v>1708</v>
      </c>
      <c r="B880" s="2">
        <v>44323.0</v>
      </c>
      <c r="C880" s="1" t="s">
        <v>1709</v>
      </c>
      <c r="D880" s="3" t="s">
        <v>23</v>
      </c>
      <c r="E880" s="1">
        <v>1.0</v>
      </c>
      <c r="F880" s="1" t="str">
        <f t="array" ref="F880">XLOOKUP(C880,customers!A879:A1879, customers!B879:B1879,0)</f>
        <v>Izaak Primak</v>
      </c>
      <c r="G880" s="1" t="str">
        <f t="array" ref="G880">IF(XLOOKUP(C881,customers!$A$1:$A$1001,customers!$C$1:$C$1001,0)=0,"",XLOOKUP(C881,customers!$A$1:$A$1001,customers!$C$1:$C$1001,0))</f>
        <v/>
      </c>
      <c r="H880" s="1" t="str">
        <f t="array" ref="H880">XLOOKUP(C880,customers!$A$1:$A$1001,customers!$F$1:$F$1001,0)</f>
        <v>Seattle</v>
      </c>
    </row>
    <row r="881" ht="15.75" customHeight="1">
      <c r="A881" s="1" t="s">
        <v>1710</v>
      </c>
      <c r="B881" s="2">
        <v>43630.0</v>
      </c>
      <c r="C881" s="1" t="s">
        <v>1711</v>
      </c>
      <c r="D881" s="3" t="s">
        <v>64</v>
      </c>
      <c r="E881" s="1">
        <v>3.0</v>
      </c>
      <c r="F881" s="1" t="str">
        <f t="array" ref="F881">XLOOKUP(C881,customers!A880:A1880, customers!B880:B1880,0)</f>
        <v>Brittani Thoresbie</v>
      </c>
      <c r="G881" s="1" t="str">
        <f t="array" ref="G881">IF(XLOOKUP(C882,customers!$A$1:$A$1001,customers!$C$1:$C$1001,0)=0,"",XLOOKUP(C882,customers!$A$1:$A$1001,customers!$C$1:$C$1001,0))</f>
        <v>chatfullog@ebay.com</v>
      </c>
      <c r="H881" s="1" t="str">
        <f t="array" ref="H881">XLOOKUP(C881,customers!$A$1:$A$1001,customers!$F$1:$F$1001,0)</f>
        <v>Englewood</v>
      </c>
    </row>
    <row r="882" ht="15.75" customHeight="1">
      <c r="A882" s="1" t="s">
        <v>1712</v>
      </c>
      <c r="B882" s="2">
        <v>43790.0</v>
      </c>
      <c r="C882" s="1" t="s">
        <v>1713</v>
      </c>
      <c r="D882" s="3" t="s">
        <v>195</v>
      </c>
      <c r="E882" s="1">
        <v>2.0</v>
      </c>
      <c r="F882" s="1" t="str">
        <f t="array" ref="F882">XLOOKUP(C882,customers!A881:A1881, customers!B881:B1881,0)</f>
        <v>Constanta Hatfull</v>
      </c>
      <c r="G882" s="1" t="str">
        <f t="array" ref="G882">IF(XLOOKUP(C883,customers!$A$1:$A$1001,customers!$C$1:$C$1001,0)=0,"",XLOOKUP(C883,customers!$A$1:$A$1001,customers!$C$1:$C$1001,0))</f>
        <v/>
      </c>
      <c r="H882" s="1" t="str">
        <f t="array" ref="H882">XLOOKUP(C882,customers!$A$1:$A$1001,customers!$F$1:$F$1001,0)</f>
        <v>Rockford</v>
      </c>
    </row>
    <row r="883" ht="15.75" customHeight="1">
      <c r="A883" s="1" t="s">
        <v>1714</v>
      </c>
      <c r="B883" s="2">
        <v>44286.0</v>
      </c>
      <c r="C883" s="1" t="s">
        <v>1715</v>
      </c>
      <c r="D883" s="3" t="s">
        <v>128</v>
      </c>
      <c r="E883" s="1">
        <v>6.0</v>
      </c>
      <c r="F883" s="1" t="str">
        <f t="array" ref="F883">XLOOKUP(C883,customers!A882:A1882, customers!B882:B1882,0)</f>
        <v>Bobbe Castagneto</v>
      </c>
      <c r="G883" s="1" t="str">
        <f t="array" ref="G883">IF(XLOOKUP(C884,customers!$A$1:$A$1001,customers!$C$1:$C$1001,0)=0,"",XLOOKUP(C884,customers!$A$1:$A$1001,customers!$C$1:$C$1001,0))</f>
        <v>kmarrisonoq@dropbox.com</v>
      </c>
      <c r="H883" s="1" t="str">
        <f t="array" ref="H883">XLOOKUP(C883,customers!$A$1:$A$1001,customers!$F$1:$F$1001,0)</f>
        <v>Billings</v>
      </c>
    </row>
    <row r="884" ht="15.75" customHeight="1">
      <c r="A884" s="1" t="s">
        <v>1716</v>
      </c>
      <c r="B884" s="2">
        <v>43647.0</v>
      </c>
      <c r="C884" s="1" t="s">
        <v>1717</v>
      </c>
      <c r="D884" s="3" t="s">
        <v>131</v>
      </c>
      <c r="E884" s="1">
        <v>5.0</v>
      </c>
      <c r="F884" s="1" t="str">
        <f t="array" ref="F884">XLOOKUP(C884,customers!A883:A1883, customers!B883:B1883,0)</f>
        <v>Kippie Marrison</v>
      </c>
      <c r="G884" s="1" t="str">
        <f t="array" ref="G884">IF(XLOOKUP(C885,customers!$A$1:$A$1001,customers!$C$1:$C$1001,0)=0,"",XLOOKUP(C885,customers!$A$1:$A$1001,customers!$C$1:$C$1001,0))</f>
        <v>lagnolooj@pinterest.com</v>
      </c>
      <c r="H884" s="1" t="str">
        <f t="array" ref="H884">XLOOKUP(C884,customers!$A$1:$A$1001,customers!$F$1:$F$1001,0)</f>
        <v>Denver</v>
      </c>
    </row>
    <row r="885" ht="15.75" customHeight="1">
      <c r="A885" s="1" t="s">
        <v>1718</v>
      </c>
      <c r="B885" s="2">
        <v>43956.0</v>
      </c>
      <c r="C885" s="1" t="s">
        <v>1719</v>
      </c>
      <c r="D885" s="3" t="s">
        <v>184</v>
      </c>
      <c r="E885" s="1">
        <v>3.0</v>
      </c>
      <c r="F885" s="1" t="str">
        <f t="array" ref="F885">XLOOKUP(C885,customers!A884:A1884, customers!B884:B1884,0)</f>
        <v>Lindon Agnolo</v>
      </c>
      <c r="G885" s="1" t="str">
        <f t="array" ref="G885">IF(XLOOKUP(C886,customers!$A$1:$A$1001,customers!$C$1:$C$1001,0)=0,"",XLOOKUP(C886,customers!$A$1:$A$1001,customers!$C$1:$C$1001,0))</f>
        <v>dkiddyok@fda.gov</v>
      </c>
      <c r="H885" s="1" t="str">
        <f t="array" ref="H885">XLOOKUP(C885,customers!$A$1:$A$1001,customers!$F$1:$F$1001,0)</f>
        <v>Tulsa</v>
      </c>
    </row>
    <row r="886" ht="15.75" customHeight="1">
      <c r="A886" s="1" t="s">
        <v>1720</v>
      </c>
      <c r="B886" s="2">
        <v>43941.0</v>
      </c>
      <c r="C886" s="1" t="s">
        <v>1721</v>
      </c>
      <c r="D886" s="3" t="s">
        <v>159</v>
      </c>
      <c r="E886" s="1">
        <v>1.0</v>
      </c>
      <c r="F886" s="1" t="str">
        <f t="array" ref="F886">XLOOKUP(C886,customers!A885:A1885, customers!B885:B1885,0)</f>
        <v>Delainey Kiddy</v>
      </c>
      <c r="G886" s="1" t="str">
        <f t="array" ref="G886">IF(XLOOKUP(C887,customers!$A$1:$A$1001,customers!$C$1:$C$1001,0)=0,"",XLOOKUP(C887,customers!$A$1:$A$1001,customers!$C$1:$C$1001,0))</f>
        <v>hpetroulisol@state.tx.us</v>
      </c>
      <c r="H886" s="1" t="str">
        <f t="array" ref="H886">XLOOKUP(C886,customers!$A$1:$A$1001,customers!$F$1:$F$1001,0)</f>
        <v>Fresno</v>
      </c>
    </row>
    <row r="887" ht="15.75" customHeight="1">
      <c r="A887" s="1" t="s">
        <v>1722</v>
      </c>
      <c r="B887" s="2">
        <v>43664.0</v>
      </c>
      <c r="C887" s="1" t="s">
        <v>1723</v>
      </c>
      <c r="D887" s="3" t="s">
        <v>48</v>
      </c>
      <c r="E887" s="1">
        <v>6.0</v>
      </c>
      <c r="F887" s="1" t="str">
        <f t="array" ref="F887">XLOOKUP(C887,customers!A886:A1886, customers!B886:B1886,0)</f>
        <v>Helli Petroulis</v>
      </c>
      <c r="G887" s="1" t="str">
        <f t="array" ref="G887">IF(XLOOKUP(C888,customers!$A$1:$A$1001,customers!$C$1:$C$1001,0)=0,"",XLOOKUP(C888,customers!$A$1:$A$1001,customers!$C$1:$C$1001,0))</f>
        <v>mschollom@taobao.com</v>
      </c>
      <c r="H887" s="1" t="str">
        <f t="array" ref="H887">XLOOKUP(C887,customers!$A$1:$A$1001,customers!$F$1:$F$1001,0)</f>
        <v>Mullagh</v>
      </c>
    </row>
    <row r="888" ht="15.75" customHeight="1">
      <c r="A888" s="1" t="s">
        <v>1724</v>
      </c>
      <c r="B888" s="2">
        <v>44518.0</v>
      </c>
      <c r="C888" s="1" t="s">
        <v>1725</v>
      </c>
      <c r="D888" s="3" t="s">
        <v>91</v>
      </c>
      <c r="E888" s="1">
        <v>2.0</v>
      </c>
      <c r="F888" s="1" t="str">
        <f t="array" ref="F888">XLOOKUP(C888,customers!A887:A1887, customers!B887:B1887,0)</f>
        <v>Marty Scholl</v>
      </c>
      <c r="G888" s="1" t="str">
        <f t="array" ref="G888">IF(XLOOKUP(C889,customers!$A$1:$A$1001,customers!$C$1:$C$1001,0)=0,"",XLOOKUP(C889,customers!$A$1:$A$1001,customers!$C$1:$C$1001,0))</f>
        <v>kfersonon@g.co</v>
      </c>
      <c r="H888" s="1" t="str">
        <f t="array" ref="H888">XLOOKUP(C888,customers!$A$1:$A$1001,customers!$F$1:$F$1001,0)</f>
        <v>San Francisco</v>
      </c>
    </row>
    <row r="889" ht="15.75" customHeight="1">
      <c r="A889" s="1" t="s">
        <v>1726</v>
      </c>
      <c r="B889" s="2">
        <v>44002.0</v>
      </c>
      <c r="C889" s="1" t="s">
        <v>1727</v>
      </c>
      <c r="D889" s="3" t="s">
        <v>267</v>
      </c>
      <c r="E889" s="1">
        <v>3.0</v>
      </c>
      <c r="F889" s="1" t="str">
        <f t="array" ref="F889">XLOOKUP(C889,customers!A888:A1888, customers!B888:B1888,0)</f>
        <v>Kienan Ferson</v>
      </c>
      <c r="G889" s="1" t="str">
        <f t="array" ref="G889">IF(XLOOKUP(C890,customers!$A$1:$A$1001,customers!$C$1:$C$1001,0)=0,"",XLOOKUP(C890,customers!$A$1:$A$1001,customers!$C$1:$C$1001,0))</f>
        <v>bkellowayoo@omniture.com</v>
      </c>
      <c r="H889" s="1" t="str">
        <f t="array" ref="H889">XLOOKUP(C889,customers!$A$1:$A$1001,customers!$F$1:$F$1001,0)</f>
        <v>Mobile</v>
      </c>
    </row>
    <row r="890" ht="15.75" customHeight="1">
      <c r="A890" s="1" t="s">
        <v>1728</v>
      </c>
      <c r="B890" s="2">
        <v>44292.0</v>
      </c>
      <c r="C890" s="1" t="s">
        <v>1729</v>
      </c>
      <c r="D890" s="3" t="s">
        <v>128</v>
      </c>
      <c r="E890" s="1">
        <v>2.0</v>
      </c>
      <c r="F890" s="1" t="str">
        <f t="array" ref="F890">XLOOKUP(C890,customers!A889:A1889, customers!B889:B1889,0)</f>
        <v>Blake Kelloway</v>
      </c>
      <c r="G890" s="1" t="str">
        <f t="array" ref="G890">IF(XLOOKUP(C891,customers!$A$1:$A$1001,customers!$C$1:$C$1001,0)=0,"",XLOOKUP(C891,customers!$A$1:$A$1001,customers!$C$1:$C$1001,0))</f>
        <v>soliffeop@yellowbook.com</v>
      </c>
      <c r="H890" s="1" t="str">
        <f t="array" ref="H890">XLOOKUP(C890,customers!$A$1:$A$1001,customers!$F$1:$F$1001,0)</f>
        <v>San Francisco</v>
      </c>
    </row>
    <row r="891" ht="15.75" customHeight="1">
      <c r="A891" s="1" t="s">
        <v>1730</v>
      </c>
      <c r="B891" s="2">
        <v>43633.0</v>
      </c>
      <c r="C891" s="1" t="s">
        <v>1731</v>
      </c>
      <c r="D891" s="3" t="s">
        <v>114</v>
      </c>
      <c r="E891" s="1">
        <v>1.0</v>
      </c>
      <c r="F891" s="1" t="str">
        <f t="array" ref="F891">XLOOKUP(C891,customers!A890:A1890, customers!B890:B1890,0)</f>
        <v>Scarlett Oliffe</v>
      </c>
      <c r="G891" s="1" t="str">
        <f t="array" ref="G891">IF(XLOOKUP(C892,customers!$A$1:$A$1001,customers!$C$1:$C$1001,0)=0,"",XLOOKUP(C892,customers!$A$1:$A$1001,customers!$C$1:$C$1001,0))</f>
        <v>kmarrisonoq@dropbox.com</v>
      </c>
      <c r="H891" s="1" t="str">
        <f t="array" ref="H891">XLOOKUP(C891,customers!$A$1:$A$1001,customers!$F$1:$F$1001,0)</f>
        <v>Jamaica</v>
      </c>
    </row>
    <row r="892" ht="15.75" customHeight="1">
      <c r="A892" s="1" t="s">
        <v>1732</v>
      </c>
      <c r="B892" s="2">
        <v>44646.0</v>
      </c>
      <c r="C892" s="1" t="s">
        <v>1717</v>
      </c>
      <c r="D892" s="3" t="s">
        <v>48</v>
      </c>
      <c r="E892" s="1">
        <v>1.0</v>
      </c>
      <c r="F892" s="1" t="str">
        <f t="array" ref="F892">XLOOKUP(C892,customers!A891:A1891, customers!B891:B1891,0)</f>
        <v>Kippie Marrison</v>
      </c>
      <c r="G892" s="1" t="str">
        <f t="array" ref="G892">IF(XLOOKUP(C893,customers!$A$1:$A$1001,customers!$C$1:$C$1001,0)=0,"",XLOOKUP(C893,customers!$A$1:$A$1001,customers!$C$1:$C$1001,0))</f>
        <v>cdolohuntyor@dailymail.co.uk</v>
      </c>
      <c r="H892" s="1" t="str">
        <f t="array" ref="H892">XLOOKUP(C892,customers!$A$1:$A$1001,customers!$F$1:$F$1001,0)</f>
        <v>Denver</v>
      </c>
    </row>
    <row r="893" ht="15.75" customHeight="1">
      <c r="A893" s="1" t="s">
        <v>1733</v>
      </c>
      <c r="B893" s="2">
        <v>44469.0</v>
      </c>
      <c r="C893" s="1" t="s">
        <v>1734</v>
      </c>
      <c r="D893" s="3" t="s">
        <v>131</v>
      </c>
      <c r="E893" s="1">
        <v>5.0</v>
      </c>
      <c r="F893" s="1" t="str">
        <f t="array" ref="F893">XLOOKUP(C893,customers!A892:A1892, customers!B892:B1892,0)</f>
        <v>Celestia Dolohunty</v>
      </c>
      <c r="G893" s="1" t="str">
        <f t="array" ref="G893">IF(XLOOKUP(C894,customers!$A$1:$A$1001,customers!$C$1:$C$1001,0)=0,"",XLOOKUP(C894,customers!$A$1:$A$1001,customers!$C$1:$C$1001,0))</f>
        <v>pvasilenkoos@addtoany.com</v>
      </c>
      <c r="H893" s="1" t="str">
        <f t="array" ref="H893">XLOOKUP(C893,customers!$A$1:$A$1001,customers!$F$1:$F$1001,0)</f>
        <v>San Diego</v>
      </c>
    </row>
    <row r="894" ht="15.75" customHeight="1">
      <c r="A894" s="1" t="s">
        <v>1735</v>
      </c>
      <c r="B894" s="2">
        <v>43635.0</v>
      </c>
      <c r="C894" s="1" t="s">
        <v>1736</v>
      </c>
      <c r="D894" s="3" t="s">
        <v>77</v>
      </c>
      <c r="E894" s="1">
        <v>5.0</v>
      </c>
      <c r="F894" s="1" t="str">
        <f t="array" ref="F894">XLOOKUP(C894,customers!A893:A1893, customers!B893:B1893,0)</f>
        <v>Patsy Vasilenko</v>
      </c>
      <c r="G894" s="1" t="str">
        <f t="array" ref="G894">IF(XLOOKUP(C895,customers!$A$1:$A$1001,customers!$C$1:$C$1001,0)=0,"",XLOOKUP(C895,customers!$A$1:$A$1001,customers!$C$1:$C$1001,0))</f>
        <v>rschankelborgot@ameblo.jp</v>
      </c>
      <c r="H894" s="1" t="str">
        <f t="array" ref="H894">XLOOKUP(C894,customers!$A$1:$A$1001,customers!$F$1:$F$1001,0)</f>
        <v>Preston</v>
      </c>
    </row>
    <row r="895" ht="15.75" customHeight="1">
      <c r="A895" s="1" t="s">
        <v>1737</v>
      </c>
      <c r="B895" s="2">
        <v>44651.0</v>
      </c>
      <c r="C895" s="1" t="s">
        <v>1738</v>
      </c>
      <c r="D895" s="3" t="s">
        <v>96</v>
      </c>
      <c r="E895" s="1">
        <v>6.0</v>
      </c>
      <c r="F895" s="1" t="str">
        <f t="array" ref="F895">XLOOKUP(C895,customers!A894:A1894, customers!B894:B1894,0)</f>
        <v>Raphaela Schankelborg</v>
      </c>
      <c r="G895" s="1" t="str">
        <f t="array" ref="G895">IF(XLOOKUP(C896,customers!$A$1:$A$1001,customers!$C$1:$C$1001,0)=0,"",XLOOKUP(C896,customers!$A$1:$A$1001,customers!$C$1:$C$1001,0))</f>
        <v/>
      </c>
      <c r="H895" s="1" t="str">
        <f t="array" ref="H895">XLOOKUP(C895,customers!$A$1:$A$1001,customers!$F$1:$F$1001,0)</f>
        <v>Pittsburgh</v>
      </c>
    </row>
    <row r="896" ht="15.75" customHeight="1">
      <c r="A896" s="1" t="s">
        <v>1739</v>
      </c>
      <c r="B896" s="2">
        <v>44016.0</v>
      </c>
      <c r="C896" s="1" t="s">
        <v>1740</v>
      </c>
      <c r="D896" s="3" t="s">
        <v>48</v>
      </c>
      <c r="E896" s="1">
        <v>4.0</v>
      </c>
      <c r="F896" s="1" t="str">
        <f t="array" ref="F896">XLOOKUP(C896,customers!A895:A1895, customers!B895:B1895,0)</f>
        <v>Sharity Wickens</v>
      </c>
      <c r="G896" s="1" t="str">
        <f t="array" ref="G896">IF(XLOOKUP(C897,customers!$A$1:$A$1001,customers!$C$1:$C$1001,0)=0,"",XLOOKUP(C897,customers!$A$1:$A$1001,customers!$C$1:$C$1001,0))</f>
        <v/>
      </c>
      <c r="H896" s="1" t="str">
        <f t="array" ref="H896">XLOOKUP(C896,customers!$A$1:$A$1001,customers!$F$1:$F$1001,0)</f>
        <v>Cavan</v>
      </c>
    </row>
    <row r="897" ht="15.75" customHeight="1">
      <c r="A897" s="1" t="s">
        <v>1741</v>
      </c>
      <c r="B897" s="2">
        <v>44521.0</v>
      </c>
      <c r="C897" s="1" t="s">
        <v>1742</v>
      </c>
      <c r="D897" s="3" t="s">
        <v>125</v>
      </c>
      <c r="E897" s="1">
        <v>5.0</v>
      </c>
      <c r="F897" s="1" t="str">
        <f t="array" ref="F897">XLOOKUP(C897,customers!A896:A1896, customers!B896:B1896,0)</f>
        <v>Derick Snow</v>
      </c>
      <c r="G897" s="1" t="str">
        <f t="array" ref="G897">IF(XLOOKUP(C898,customers!$A$1:$A$1001,customers!$C$1:$C$1001,0)=0,"",XLOOKUP(C898,customers!$A$1:$A$1001,customers!$C$1:$C$1001,0))</f>
        <v>bcargenow@geocities.jp</v>
      </c>
      <c r="H897" s="1" t="str">
        <f t="array" ref="H897">XLOOKUP(C897,customers!$A$1:$A$1001,customers!$F$1:$F$1001,0)</f>
        <v>New York City</v>
      </c>
    </row>
    <row r="898" ht="15.75" customHeight="1">
      <c r="A898" s="1" t="s">
        <v>1743</v>
      </c>
      <c r="B898" s="2">
        <v>44347.0</v>
      </c>
      <c r="C898" s="1" t="s">
        <v>1744</v>
      </c>
      <c r="D898" s="3" t="s">
        <v>159</v>
      </c>
      <c r="E898" s="1">
        <v>6.0</v>
      </c>
      <c r="F898" s="1" t="str">
        <f t="array" ref="F898">XLOOKUP(C898,customers!A897:A1897, customers!B897:B1897,0)</f>
        <v>Baxy Cargen</v>
      </c>
      <c r="G898" s="1" t="str">
        <f t="array" ref="G898">IF(XLOOKUP(C899,customers!$A$1:$A$1001,customers!$C$1:$C$1001,0)=0,"",XLOOKUP(C899,customers!$A$1:$A$1001,customers!$C$1:$C$1001,0))</f>
        <v>rsticklerox@printfriendly.com</v>
      </c>
      <c r="H898" s="1" t="str">
        <f t="array" ref="H898">XLOOKUP(C898,customers!$A$1:$A$1001,customers!$F$1:$F$1001,0)</f>
        <v>Seattle</v>
      </c>
    </row>
    <row r="899" ht="15.75" customHeight="1">
      <c r="A899" s="1" t="s">
        <v>1745</v>
      </c>
      <c r="B899" s="2">
        <v>43932.0</v>
      </c>
      <c r="C899" s="1" t="s">
        <v>1746</v>
      </c>
      <c r="D899" s="3" t="s">
        <v>258</v>
      </c>
      <c r="E899" s="1">
        <v>2.0</v>
      </c>
      <c r="F899" s="1" t="str">
        <f t="array" ref="F899">XLOOKUP(C899,customers!A898:A1898, customers!B898:B1898,0)</f>
        <v>Ryann Stickler</v>
      </c>
      <c r="G899" s="1" t="str">
        <f t="array" ref="G899">IF(XLOOKUP(C900,customers!$A$1:$A$1001,customers!$C$1:$C$1001,0)=0,"",XLOOKUP(C900,customers!$A$1:$A$1001,customers!$C$1:$C$1001,0))</f>
        <v/>
      </c>
      <c r="H899" s="1" t="str">
        <f t="array" ref="H899">XLOOKUP(C899,customers!$A$1:$A$1001,customers!$F$1:$F$1001,0)</f>
        <v>Birmingham</v>
      </c>
    </row>
    <row r="900" ht="15.75" customHeight="1">
      <c r="A900" s="1" t="s">
        <v>1747</v>
      </c>
      <c r="B900" s="2">
        <v>44089.0</v>
      </c>
      <c r="C900" s="1" t="s">
        <v>1748</v>
      </c>
      <c r="D900" s="3" t="s">
        <v>170</v>
      </c>
      <c r="E900" s="1">
        <v>5.0</v>
      </c>
      <c r="F900" s="1" t="str">
        <f t="array" ref="F900">XLOOKUP(C900,customers!A899:A1899, customers!B899:B1899,0)</f>
        <v>Daryn Cassius</v>
      </c>
      <c r="G900" s="1" t="str">
        <f t="array" ref="G900">IF(XLOOKUP(C901,customers!$A$1:$A$1001,customers!$C$1:$C$1001,0)=0,"",XLOOKUP(C901,customers!$A$1:$A$1001,customers!$C$1:$C$1001,0))</f>
        <v/>
      </c>
      <c r="H900" s="1" t="str">
        <f t="array" ref="H900">XLOOKUP(C900,customers!$A$1:$A$1001,customers!$F$1:$F$1001,0)</f>
        <v>Battle Creek</v>
      </c>
    </row>
    <row r="901" ht="15.75" customHeight="1">
      <c r="A901" s="1" t="s">
        <v>1749</v>
      </c>
      <c r="B901" s="2">
        <v>44523.0</v>
      </c>
      <c r="C901" s="1" t="s">
        <v>1742</v>
      </c>
      <c r="D901" s="3" t="s">
        <v>109</v>
      </c>
      <c r="E901" s="1">
        <v>5.0</v>
      </c>
      <c r="F901" s="1">
        <f t="array" ref="F901">XLOOKUP(C901,customers!A900:A1900, customers!B900:B1900,0)</f>
        <v>0</v>
      </c>
      <c r="G901" s="1" t="str">
        <f t="array" ref="G901">IF(XLOOKUP(C902,customers!$A$1:$A$1001,customers!$C$1:$C$1001,0)=0,"",XLOOKUP(C902,customers!$A$1:$A$1001,customers!$C$1:$C$1001,0))</f>
        <v/>
      </c>
      <c r="H901" s="1" t="str">
        <f t="array" ref="H901">XLOOKUP(C901,customers!$A$1:$A$1001,customers!$F$1:$F$1001,0)</f>
        <v>New York City</v>
      </c>
    </row>
    <row r="902" ht="15.75" customHeight="1">
      <c r="A902" s="1" t="s">
        <v>1750</v>
      </c>
      <c r="B902" s="2">
        <v>44584.0</v>
      </c>
      <c r="C902" s="1" t="s">
        <v>1751</v>
      </c>
      <c r="D902" s="3" t="s">
        <v>145</v>
      </c>
      <c r="E902" s="1">
        <v>3.0</v>
      </c>
      <c r="F902" s="1" t="str">
        <f t="array" ref="F902">XLOOKUP(C902,customers!A901:A1901, customers!B901:B1901,0)</f>
        <v>Skelly Dolohunty</v>
      </c>
      <c r="G902" s="1" t="str">
        <f t="array" ref="G902">IF(XLOOKUP(C903,customers!$A$1:$A$1001,customers!$C$1:$C$1001,0)=0,"",XLOOKUP(C903,customers!$A$1:$A$1001,customers!$C$1:$C$1001,0))</f>
        <v>djevonp1@ibm.com</v>
      </c>
      <c r="H902" s="1" t="str">
        <f t="array" ref="H902">XLOOKUP(C902,customers!$A$1:$A$1001,customers!$F$1:$F$1001,0)</f>
        <v>Ballymun</v>
      </c>
    </row>
    <row r="903" ht="15.75" customHeight="1">
      <c r="A903" s="1" t="s">
        <v>1752</v>
      </c>
      <c r="B903" s="2">
        <v>44223.0</v>
      </c>
      <c r="C903" s="1" t="s">
        <v>1753</v>
      </c>
      <c r="D903" s="3" t="s">
        <v>195</v>
      </c>
      <c r="E903" s="1">
        <v>1.0</v>
      </c>
      <c r="F903" s="1" t="str">
        <f t="array" ref="F903">XLOOKUP(C903,customers!A902:A1902, customers!B902:B1902,0)</f>
        <v>Drake Jevon</v>
      </c>
      <c r="G903" s="1" t="str">
        <f t="array" ref="G903">IF(XLOOKUP(C904,customers!$A$1:$A$1001,customers!$C$1:$C$1001,0)=0,"",XLOOKUP(C904,customers!$A$1:$A$1001,customers!$C$1:$C$1001,0))</f>
        <v>hrannerp2@omniture.com</v>
      </c>
      <c r="H903" s="1" t="str">
        <f t="array" ref="H903">XLOOKUP(C903,customers!$A$1:$A$1001,customers!$F$1:$F$1001,0)</f>
        <v>Houston</v>
      </c>
    </row>
    <row r="904" ht="15.75" customHeight="1">
      <c r="A904" s="1" t="s">
        <v>1754</v>
      </c>
      <c r="B904" s="2">
        <v>43640.0</v>
      </c>
      <c r="C904" s="1" t="s">
        <v>1755</v>
      </c>
      <c r="D904" s="3" t="s">
        <v>125</v>
      </c>
      <c r="E904" s="1">
        <v>5.0</v>
      </c>
      <c r="F904" s="1" t="str">
        <f t="array" ref="F904">XLOOKUP(C904,customers!A903:A1903, customers!B903:B1903,0)</f>
        <v>Hall Ranner</v>
      </c>
      <c r="G904" s="1" t="str">
        <f t="array" ref="G904">IF(XLOOKUP(C905,customers!$A$1:$A$1001,customers!$C$1:$C$1001,0)=0,"",XLOOKUP(C905,customers!$A$1:$A$1001,customers!$C$1:$C$1001,0))</f>
        <v>bimriep3@addtoany.com</v>
      </c>
      <c r="H904" s="1" t="str">
        <f t="array" ref="H904">XLOOKUP(C904,customers!$A$1:$A$1001,customers!$F$1:$F$1001,0)</f>
        <v>Cincinnati</v>
      </c>
    </row>
    <row r="905" ht="15.75" customHeight="1">
      <c r="A905" s="1" t="s">
        <v>1756</v>
      </c>
      <c r="B905" s="2">
        <v>43905.0</v>
      </c>
      <c r="C905" s="1" t="s">
        <v>1757</v>
      </c>
      <c r="D905" s="3" t="s">
        <v>91</v>
      </c>
      <c r="E905" s="1">
        <v>2.0</v>
      </c>
      <c r="F905" s="1" t="str">
        <f t="array" ref="F905">XLOOKUP(C905,customers!A904:A1904, customers!B904:B1904,0)</f>
        <v>Berkly Imrie</v>
      </c>
      <c r="G905" s="1" t="str">
        <f t="array" ref="G905">IF(XLOOKUP(C906,customers!$A$1:$A$1001,customers!$C$1:$C$1001,0)=0,"",XLOOKUP(C906,customers!$A$1:$A$1001,customers!$C$1:$C$1001,0))</f>
        <v>dsopperp4@eventbrite.com</v>
      </c>
      <c r="H905" s="1" t="str">
        <f t="array" ref="H905">XLOOKUP(C905,customers!$A$1:$A$1001,customers!$F$1:$F$1001,0)</f>
        <v>Fresno</v>
      </c>
    </row>
    <row r="906" ht="15.75" customHeight="1">
      <c r="A906" s="1" t="s">
        <v>1758</v>
      </c>
      <c r="B906" s="2">
        <v>44463.0</v>
      </c>
      <c r="C906" s="1" t="s">
        <v>1759</v>
      </c>
      <c r="D906" s="3" t="s">
        <v>217</v>
      </c>
      <c r="E906" s="1">
        <v>5.0</v>
      </c>
      <c r="F906" s="1" t="str">
        <f t="array" ref="F906">XLOOKUP(C906,customers!A905:A1905, customers!B905:B1905,0)</f>
        <v>Dorey Sopper</v>
      </c>
      <c r="G906" s="1" t="str">
        <f t="array" ref="G906">IF(XLOOKUP(C907,customers!$A$1:$A$1001,customers!$C$1:$C$1001,0)=0,"",XLOOKUP(C907,customers!$A$1:$A$1001,customers!$C$1:$C$1001,0))</f>
        <v/>
      </c>
      <c r="H906" s="1" t="str">
        <f t="array" ref="H906">XLOOKUP(C906,customers!$A$1:$A$1001,customers!$F$1:$F$1001,0)</f>
        <v>Saint Paul</v>
      </c>
    </row>
    <row r="907" ht="15.75" customHeight="1">
      <c r="A907" s="1" t="s">
        <v>1760</v>
      </c>
      <c r="B907" s="2">
        <v>43560.0</v>
      </c>
      <c r="C907" s="1" t="s">
        <v>1761</v>
      </c>
      <c r="D907" s="3" t="s">
        <v>80</v>
      </c>
      <c r="E907" s="1">
        <v>6.0</v>
      </c>
      <c r="F907" s="1" t="str">
        <f t="array" ref="F907">XLOOKUP(C907,customers!A906:A1906, customers!B906:B1906,0)</f>
        <v>Darcy Lochran</v>
      </c>
      <c r="G907" s="1" t="str">
        <f t="array" ref="G907">IF(XLOOKUP(C908,customers!$A$1:$A$1001,customers!$C$1:$C$1001,0)=0,"",XLOOKUP(C908,customers!$A$1:$A$1001,customers!$C$1:$C$1001,0))</f>
        <v>lledgleyp6@de.vu</v>
      </c>
      <c r="H907" s="1" t="str">
        <f t="array" ref="H907">XLOOKUP(C907,customers!$A$1:$A$1001,customers!$F$1:$F$1001,0)</f>
        <v>El Paso</v>
      </c>
    </row>
    <row r="908" ht="15.75" customHeight="1">
      <c r="A908" s="1" t="s">
        <v>1762</v>
      </c>
      <c r="B908" s="2">
        <v>44588.0</v>
      </c>
      <c r="C908" s="1" t="s">
        <v>1763</v>
      </c>
      <c r="D908" s="3" t="s">
        <v>80</v>
      </c>
      <c r="E908" s="1">
        <v>4.0</v>
      </c>
      <c r="F908" s="1" t="str">
        <f t="array" ref="F908">XLOOKUP(C908,customers!A907:A1907, customers!B907:B1907,0)</f>
        <v>Lauritz Ledgley</v>
      </c>
      <c r="G908" s="1" t="str">
        <f t="array" ref="G908">IF(XLOOKUP(C909,customers!$A$1:$A$1001,customers!$C$1:$C$1001,0)=0,"",XLOOKUP(C909,customers!$A$1:$A$1001,customers!$C$1:$C$1001,0))</f>
        <v>tmenaryp7@phoca.cz</v>
      </c>
      <c r="H908" s="1" t="str">
        <f t="array" ref="H908">XLOOKUP(C908,customers!$A$1:$A$1001,customers!$F$1:$F$1001,0)</f>
        <v>Des Moines</v>
      </c>
    </row>
    <row r="909" ht="15.75" customHeight="1">
      <c r="A909" s="1" t="s">
        <v>1764</v>
      </c>
      <c r="B909" s="2">
        <v>44449.0</v>
      </c>
      <c r="C909" s="1" t="s">
        <v>1765</v>
      </c>
      <c r="D909" s="3" t="s">
        <v>26</v>
      </c>
      <c r="E909" s="1">
        <v>3.0</v>
      </c>
      <c r="F909" s="1" t="str">
        <f t="array" ref="F909">XLOOKUP(C909,customers!A908:A1908, customers!B908:B1908,0)</f>
        <v>Tawnya Menary</v>
      </c>
      <c r="G909" s="1" t="str">
        <f t="array" ref="G909">IF(XLOOKUP(C910,customers!$A$1:$A$1001,customers!$C$1:$C$1001,0)=0,"",XLOOKUP(C910,customers!$A$1:$A$1001,customers!$C$1:$C$1001,0))</f>
        <v>gciccottip8@so-net.ne.jp</v>
      </c>
      <c r="H909" s="1" t="str">
        <f t="array" ref="H909">XLOOKUP(C909,customers!$A$1:$A$1001,customers!$F$1:$F$1001,0)</f>
        <v>Portland</v>
      </c>
    </row>
    <row r="910" ht="15.75" customHeight="1">
      <c r="A910" s="1" t="s">
        <v>1766</v>
      </c>
      <c r="B910" s="2">
        <v>43836.0</v>
      </c>
      <c r="C910" s="1" t="s">
        <v>1767</v>
      </c>
      <c r="D910" s="3" t="s">
        <v>202</v>
      </c>
      <c r="E910" s="1">
        <v>5.0</v>
      </c>
      <c r="F910" s="1" t="str">
        <f t="array" ref="F910">XLOOKUP(C910,customers!A909:A1909, customers!B909:B1909,0)</f>
        <v>Gustaf Ciccotti</v>
      </c>
      <c r="G910" s="1" t="str">
        <f t="array" ref="G910">IF(XLOOKUP(C911,customers!$A$1:$A$1001,customers!$C$1:$C$1001,0)=0,"",XLOOKUP(C911,customers!$A$1:$A$1001,customers!$C$1:$C$1001,0))</f>
        <v/>
      </c>
      <c r="H910" s="1" t="str">
        <f t="array" ref="H910">XLOOKUP(C910,customers!$A$1:$A$1001,customers!$F$1:$F$1001,0)</f>
        <v>Houston</v>
      </c>
    </row>
    <row r="911" ht="15.75" customHeight="1">
      <c r="A911" s="1" t="s">
        <v>1768</v>
      </c>
      <c r="B911" s="2">
        <v>44635.0</v>
      </c>
      <c r="C911" s="1" t="s">
        <v>1769</v>
      </c>
      <c r="D911" s="3" t="s">
        <v>195</v>
      </c>
      <c r="E911" s="1">
        <v>3.0</v>
      </c>
      <c r="F911" s="1" t="str">
        <f t="array" ref="F911">XLOOKUP(C911,customers!A910:A1910, customers!B910:B1910,0)</f>
        <v>Bobbe Renner</v>
      </c>
      <c r="G911" s="1" t="str">
        <f t="array" ref="G911">IF(XLOOKUP(C912,customers!$A$1:$A$1001,customers!$C$1:$C$1001,0)=0,"",XLOOKUP(C912,customers!$A$1:$A$1001,customers!$C$1:$C$1001,0))</f>
        <v>wjallinpa@pcworld.com</v>
      </c>
      <c r="H911" s="1" t="str">
        <f t="array" ref="H911">XLOOKUP(C911,customers!$A$1:$A$1001,customers!$F$1:$F$1001,0)</f>
        <v>Durham</v>
      </c>
    </row>
    <row r="912" ht="15.75" customHeight="1">
      <c r="A912" s="1" t="s">
        <v>1770</v>
      </c>
      <c r="B912" s="2">
        <v>44447.0</v>
      </c>
      <c r="C912" s="1" t="s">
        <v>1771</v>
      </c>
      <c r="D912" s="3" t="s">
        <v>131</v>
      </c>
      <c r="E912" s="1">
        <v>4.0</v>
      </c>
      <c r="F912" s="1" t="str">
        <f t="array" ref="F912">XLOOKUP(C912,customers!A911:A1911, customers!B911:B1911,0)</f>
        <v>Wilton Jallin</v>
      </c>
      <c r="G912" s="1" t="str">
        <f t="array" ref="G912">IF(XLOOKUP(C913,customers!$A$1:$A$1001,customers!$C$1:$C$1001,0)=0,"",XLOOKUP(C913,customers!$A$1:$A$1001,customers!$C$1:$C$1001,0))</f>
        <v>mbogeypb@thetimes.co.uk</v>
      </c>
      <c r="H912" s="1" t="str">
        <f t="array" ref="H912">XLOOKUP(C912,customers!$A$1:$A$1001,customers!$F$1:$F$1001,0)</f>
        <v>Boston</v>
      </c>
    </row>
    <row r="913" ht="15.75" customHeight="1">
      <c r="A913" s="1" t="s">
        <v>1772</v>
      </c>
      <c r="B913" s="2">
        <v>44511.0</v>
      </c>
      <c r="C913" s="1" t="s">
        <v>1773</v>
      </c>
      <c r="D913" s="3" t="s">
        <v>74</v>
      </c>
      <c r="E913" s="1">
        <v>4.0</v>
      </c>
      <c r="F913" s="1" t="str">
        <f t="array" ref="F913">XLOOKUP(C913,customers!A912:A1912, customers!B912:B1912,0)</f>
        <v>Mindy Bogey</v>
      </c>
      <c r="G913" s="1" t="str">
        <f t="array" ref="G913">IF(XLOOKUP(C914,customers!$A$1:$A$1001,customers!$C$1:$C$1001,0)=0,"",XLOOKUP(C914,customers!$A$1:$A$1001,customers!$C$1:$C$1001,0))</f>
        <v/>
      </c>
      <c r="H913" s="1" t="str">
        <f t="array" ref="H913">XLOOKUP(C913,customers!$A$1:$A$1001,customers!$F$1:$F$1001,0)</f>
        <v>Washington</v>
      </c>
    </row>
    <row r="914" ht="15.75" customHeight="1">
      <c r="A914" s="1" t="s">
        <v>1774</v>
      </c>
      <c r="B914" s="2">
        <v>43726.0</v>
      </c>
      <c r="C914" s="1" t="s">
        <v>1775</v>
      </c>
      <c r="D914" s="3" t="s">
        <v>54</v>
      </c>
      <c r="E914" s="1">
        <v>6.0</v>
      </c>
      <c r="F914" s="1" t="str">
        <f t="array" ref="F914">XLOOKUP(C914,customers!A913:A1913, customers!B913:B1913,0)</f>
        <v>Paulie Fonzone</v>
      </c>
      <c r="G914" s="1" t="str">
        <f t="array" ref="G914">IF(XLOOKUP(C915,customers!$A$1:$A$1001,customers!$C$1:$C$1001,0)=0,"",XLOOKUP(C915,customers!$A$1:$A$1001,customers!$C$1:$C$1001,0))</f>
        <v>mcobbledickpd@ucsd.edu</v>
      </c>
      <c r="H914" s="1" t="str">
        <f t="array" ref="H914">XLOOKUP(C914,customers!$A$1:$A$1001,customers!$F$1:$F$1001,0)</f>
        <v>Albany</v>
      </c>
    </row>
    <row r="915" ht="15.75" customHeight="1">
      <c r="A915" s="1" t="s">
        <v>1776</v>
      </c>
      <c r="B915" s="2">
        <v>44406.0</v>
      </c>
      <c r="C915" s="1" t="s">
        <v>1777</v>
      </c>
      <c r="D915" s="3" t="s">
        <v>80</v>
      </c>
      <c r="E915" s="1">
        <v>1.0</v>
      </c>
      <c r="F915" s="1" t="str">
        <f t="array" ref="F915">XLOOKUP(C915,customers!A914:A1914, customers!B914:B1914,0)</f>
        <v>Merrile Cobbledick</v>
      </c>
      <c r="G915" s="1" t="str">
        <f t="array" ref="G915">IF(XLOOKUP(C916,customers!$A$1:$A$1001,customers!$C$1:$C$1001,0)=0,"",XLOOKUP(C916,customers!$A$1:$A$1001,customers!$C$1:$C$1001,0))</f>
        <v>alewrype@whitehouse.gov</v>
      </c>
      <c r="H915" s="1" t="str">
        <f t="array" ref="H915">XLOOKUP(C915,customers!$A$1:$A$1001,customers!$F$1:$F$1001,0)</f>
        <v>Tucson</v>
      </c>
    </row>
    <row r="916" ht="15.75" customHeight="1">
      <c r="A916" s="1" t="s">
        <v>1778</v>
      </c>
      <c r="B916" s="2">
        <v>44640.0</v>
      </c>
      <c r="C916" s="1" t="s">
        <v>1779</v>
      </c>
      <c r="D916" s="3" t="s">
        <v>74</v>
      </c>
      <c r="E916" s="1">
        <v>4.0</v>
      </c>
      <c r="F916" s="1" t="str">
        <f t="array" ref="F916">XLOOKUP(C916,customers!A915:A1915, customers!B915:B1915,0)</f>
        <v>Antonius Lewry</v>
      </c>
      <c r="G916" s="1" t="str">
        <f t="array" ref="G916">IF(XLOOKUP(C917,customers!$A$1:$A$1001,customers!$C$1:$C$1001,0)=0,"",XLOOKUP(C917,customers!$A$1:$A$1001,customers!$C$1:$C$1001,0))</f>
        <v>ihesselpf@ox.ac.uk</v>
      </c>
      <c r="H916" s="1" t="str">
        <f t="array" ref="H916">XLOOKUP(C916,customers!$A$1:$A$1001,customers!$F$1:$F$1001,0)</f>
        <v>Montgomery</v>
      </c>
    </row>
    <row r="917" ht="15.75" customHeight="1">
      <c r="A917" s="1" t="s">
        <v>1780</v>
      </c>
      <c r="B917" s="2">
        <v>43955.0</v>
      </c>
      <c r="C917" s="1" t="s">
        <v>1781</v>
      </c>
      <c r="D917" s="3" t="s">
        <v>543</v>
      </c>
      <c r="E917" s="1">
        <v>3.0</v>
      </c>
      <c r="F917" s="1" t="str">
        <f t="array" ref="F917">XLOOKUP(C917,customers!A916:A1916, customers!B916:B1916,0)</f>
        <v>Isis Hessel</v>
      </c>
      <c r="G917" s="1" t="str">
        <f t="array" ref="G917">IF(XLOOKUP(C918,customers!$A$1:$A$1001,customers!$C$1:$C$1001,0)=0,"",XLOOKUP(C918,customers!$A$1:$A$1001,customers!$C$1:$C$1001,0))</f>
        <v/>
      </c>
      <c r="H917" s="1" t="str">
        <f t="array" ref="H917">XLOOKUP(C917,customers!$A$1:$A$1001,customers!$F$1:$F$1001,0)</f>
        <v>Fairbanks</v>
      </c>
    </row>
    <row r="918" ht="15.75" customHeight="1">
      <c r="A918" s="1" t="s">
        <v>1782</v>
      </c>
      <c r="B918" s="2">
        <v>44291.0</v>
      </c>
      <c r="C918" s="1" t="s">
        <v>1783</v>
      </c>
      <c r="D918" s="3" t="s">
        <v>64</v>
      </c>
      <c r="E918" s="1">
        <v>1.0</v>
      </c>
      <c r="F918" s="1" t="str">
        <f t="array" ref="F918">XLOOKUP(C918,customers!A917:A1917, customers!B917:B1917,0)</f>
        <v>Harland Trematick</v>
      </c>
      <c r="G918" s="1" t="str">
        <f t="array" ref="G918">IF(XLOOKUP(C919,customers!$A$1:$A$1001,customers!$C$1:$C$1001,0)=0,"",XLOOKUP(C919,customers!$A$1:$A$1001,customers!$C$1:$C$1001,0))</f>
        <v>csorrellph@amazon.com</v>
      </c>
      <c r="H918" s="1" t="str">
        <f t="array" ref="H918">XLOOKUP(C918,customers!$A$1:$A$1001,customers!$F$1:$F$1001,0)</f>
        <v>Monasterevin</v>
      </c>
    </row>
    <row r="919" ht="15.75" customHeight="1">
      <c r="A919" s="1" t="s">
        <v>1784</v>
      </c>
      <c r="B919" s="2">
        <v>44573.0</v>
      </c>
      <c r="C919" s="1" t="s">
        <v>1785</v>
      </c>
      <c r="D919" s="3" t="s">
        <v>80</v>
      </c>
      <c r="E919" s="1">
        <v>1.0</v>
      </c>
      <c r="F919" s="1" t="str">
        <f t="array" ref="F919">XLOOKUP(C919,customers!A918:A1918, customers!B918:B1918,0)</f>
        <v>Chloris Sorrell</v>
      </c>
      <c r="G919" s="1" t="str">
        <f t="array" ref="G919">IF(XLOOKUP(C920,customers!$A$1:$A$1001,customers!$C$1:$C$1001,0)=0,"",XLOOKUP(C920,customers!$A$1:$A$1001,customers!$C$1:$C$1001,0))</f>
        <v>csorrellph@amazon.com</v>
      </c>
      <c r="H919" s="1" t="str">
        <f t="array" ref="H919">XLOOKUP(C919,customers!$A$1:$A$1001,customers!$F$1:$F$1001,0)</f>
        <v>Norton</v>
      </c>
    </row>
    <row r="920" ht="15.75" customHeight="1">
      <c r="A920" s="1" t="s">
        <v>1784</v>
      </c>
      <c r="B920" s="2">
        <v>44573.0</v>
      </c>
      <c r="C920" s="1" t="s">
        <v>1785</v>
      </c>
      <c r="D920" s="3" t="s">
        <v>29</v>
      </c>
      <c r="E920" s="1">
        <v>3.0</v>
      </c>
      <c r="F920" s="1" t="str">
        <f t="array" ref="F920">XLOOKUP(C920,customers!A919:A1919, customers!B919:B1919,0)</f>
        <v>Chloris Sorrell</v>
      </c>
      <c r="G920" s="1" t="str">
        <f t="array" ref="G920">IF(XLOOKUP(C921,customers!$A$1:$A$1001,customers!$C$1:$C$1001,0)=0,"",XLOOKUP(C921,customers!$A$1:$A$1001,customers!$C$1:$C$1001,0))</f>
        <v>qheavysidepj@unc.edu</v>
      </c>
      <c r="H920" s="1" t="str">
        <f t="array" ref="H920">XLOOKUP(C920,customers!$A$1:$A$1001,customers!$F$1:$F$1001,0)</f>
        <v>Norton</v>
      </c>
    </row>
    <row r="921" ht="15.75" customHeight="1">
      <c r="A921" s="1" t="s">
        <v>1786</v>
      </c>
      <c r="B921" s="2">
        <v>44181.0</v>
      </c>
      <c r="C921" s="1" t="s">
        <v>1787</v>
      </c>
      <c r="D921" s="3" t="s">
        <v>114</v>
      </c>
      <c r="E921" s="1">
        <v>5.0</v>
      </c>
      <c r="F921" s="1" t="str">
        <f t="array" ref="F921">XLOOKUP(C921,customers!A920:A1920, customers!B920:B1920,0)</f>
        <v>Quintina Heavyside</v>
      </c>
      <c r="G921" s="1" t="str">
        <f t="array" ref="G921">IF(XLOOKUP(C922,customers!$A$1:$A$1001,customers!$C$1:$C$1001,0)=0,"",XLOOKUP(C922,customers!$A$1:$A$1001,customers!$C$1:$C$1001,0))</f>
        <v>hreuvenpk@whitehouse.gov</v>
      </c>
      <c r="H921" s="1" t="str">
        <f t="array" ref="H921">XLOOKUP(C921,customers!$A$1:$A$1001,customers!$F$1:$F$1001,0)</f>
        <v>Lexington</v>
      </c>
    </row>
    <row r="922" ht="15.75" customHeight="1">
      <c r="A922" s="1" t="s">
        <v>1788</v>
      </c>
      <c r="B922" s="2">
        <v>44711.0</v>
      </c>
      <c r="C922" s="1" t="s">
        <v>1789</v>
      </c>
      <c r="D922" s="3" t="s">
        <v>48</v>
      </c>
      <c r="E922" s="1">
        <v>6.0</v>
      </c>
      <c r="F922" s="1" t="str">
        <f t="array" ref="F922">XLOOKUP(C922,customers!A921:A1921, customers!B921:B1921,0)</f>
        <v>Hadley Reuven</v>
      </c>
      <c r="G922" s="1" t="str">
        <f t="array" ref="G922">IF(XLOOKUP(C923,customers!$A$1:$A$1001,customers!$C$1:$C$1001,0)=0,"",XLOOKUP(C923,customers!$A$1:$A$1001,customers!$C$1:$C$1001,0))</f>
        <v>mattwoolpl@nba.com</v>
      </c>
      <c r="H922" s="1" t="str">
        <f t="array" ref="H922">XLOOKUP(C922,customers!$A$1:$A$1001,customers!$F$1:$F$1001,0)</f>
        <v>Grand Rapids</v>
      </c>
    </row>
    <row r="923" ht="15.75" customHeight="1">
      <c r="A923" s="1" t="s">
        <v>1790</v>
      </c>
      <c r="B923" s="2">
        <v>44509.0</v>
      </c>
      <c r="C923" s="1" t="s">
        <v>1791</v>
      </c>
      <c r="D923" s="3" t="s">
        <v>51</v>
      </c>
      <c r="E923" s="1">
        <v>2.0</v>
      </c>
      <c r="F923" s="1" t="str">
        <f t="array" ref="F923">XLOOKUP(C923,customers!A922:A1922, customers!B922:B1922,0)</f>
        <v>Mitch Attwool</v>
      </c>
      <c r="G923" s="1" t="str">
        <f t="array" ref="G923">IF(XLOOKUP(C924,customers!$A$1:$A$1001,customers!$C$1:$C$1001,0)=0,"",XLOOKUP(C924,customers!$A$1:$A$1001,customers!$C$1:$C$1001,0))</f>
        <v/>
      </c>
      <c r="H923" s="1" t="str">
        <f t="array" ref="H923">XLOOKUP(C923,customers!$A$1:$A$1001,customers!$F$1:$F$1001,0)</f>
        <v>Des Moines</v>
      </c>
    </row>
    <row r="924" ht="15.75" customHeight="1">
      <c r="A924" s="1" t="s">
        <v>1792</v>
      </c>
      <c r="B924" s="2">
        <v>44659.0</v>
      </c>
      <c r="C924" s="1" t="s">
        <v>1793</v>
      </c>
      <c r="D924" s="3" t="s">
        <v>74</v>
      </c>
      <c r="E924" s="1">
        <v>6.0</v>
      </c>
      <c r="F924" s="1" t="str">
        <f t="array" ref="F924">XLOOKUP(C924,customers!A923:A1923, customers!B923:B1923,0)</f>
        <v>Charin Maplethorp</v>
      </c>
      <c r="G924" s="1" t="str">
        <f t="array" ref="G924">IF(XLOOKUP(C925,customers!$A$1:$A$1001,customers!$C$1:$C$1001,0)=0,"",XLOOKUP(C925,customers!$A$1:$A$1001,customers!$C$1:$C$1001,0))</f>
        <v>gwynespn@dagondesign.com</v>
      </c>
      <c r="H924" s="1" t="str">
        <f t="array" ref="H924">XLOOKUP(C924,customers!$A$1:$A$1001,customers!$F$1:$F$1001,0)</f>
        <v>Wilmington</v>
      </c>
    </row>
    <row r="925" ht="15.75" customHeight="1">
      <c r="A925" s="1" t="s">
        <v>1794</v>
      </c>
      <c r="B925" s="2">
        <v>43746.0</v>
      </c>
      <c r="C925" s="1" t="s">
        <v>1795</v>
      </c>
      <c r="D925" s="3" t="s">
        <v>543</v>
      </c>
      <c r="E925" s="1">
        <v>1.0</v>
      </c>
      <c r="F925" s="1" t="str">
        <f t="array" ref="F925">XLOOKUP(C925,customers!A924:A1924, customers!B924:B1924,0)</f>
        <v>Goldie Wynes</v>
      </c>
      <c r="G925" s="1" t="str">
        <f t="array" ref="G925">IF(XLOOKUP(C926,customers!$A$1:$A$1001,customers!$C$1:$C$1001,0)=0,"",XLOOKUP(C926,customers!$A$1:$A$1001,customers!$C$1:$C$1001,0))</f>
        <v>cmaccourtpo@amazon.com</v>
      </c>
      <c r="H925" s="1" t="str">
        <f t="array" ref="H925">XLOOKUP(C925,customers!$A$1:$A$1001,customers!$F$1:$F$1001,0)</f>
        <v>Austin</v>
      </c>
    </row>
    <row r="926" ht="15.75" customHeight="1">
      <c r="A926" s="1" t="s">
        <v>1796</v>
      </c>
      <c r="B926" s="2">
        <v>44451.0</v>
      </c>
      <c r="C926" s="1" t="s">
        <v>1797</v>
      </c>
      <c r="D926" s="3" t="s">
        <v>217</v>
      </c>
      <c r="E926" s="1">
        <v>3.0</v>
      </c>
      <c r="F926" s="1" t="str">
        <f t="array" ref="F926">XLOOKUP(C926,customers!A925:A1925, customers!B925:B1925,0)</f>
        <v>Celie MacCourt</v>
      </c>
      <c r="G926" s="1" t="str">
        <f t="array" ref="G926">IF(XLOOKUP(C927,customers!$A$1:$A$1001,customers!$C$1:$C$1001,0)=0,"",XLOOKUP(C927,customers!$A$1:$A$1001,customers!$C$1:$C$1001,0))</f>
        <v/>
      </c>
      <c r="H926" s="1" t="str">
        <f t="array" ref="H926">XLOOKUP(C926,customers!$A$1:$A$1001,customers!$F$1:$F$1001,0)</f>
        <v>Orlando</v>
      </c>
    </row>
    <row r="927" ht="15.75" customHeight="1">
      <c r="A927" s="1" t="s">
        <v>1798</v>
      </c>
      <c r="B927" s="2">
        <v>44770.0</v>
      </c>
      <c r="C927" s="1" t="s">
        <v>1742</v>
      </c>
      <c r="D927" s="3" t="s">
        <v>80</v>
      </c>
      <c r="E927" s="1">
        <v>3.0</v>
      </c>
      <c r="F927" s="1">
        <f t="array" ref="F927">XLOOKUP(C927,customers!A926:A1926, customers!B926:B1926,0)</f>
        <v>0</v>
      </c>
      <c r="G927" s="1" t="str">
        <f t="array" ref="G927">IF(XLOOKUP(C928,customers!$A$1:$A$1001,customers!$C$1:$C$1001,0)=0,"",XLOOKUP(C928,customers!$A$1:$A$1001,customers!$C$1:$C$1001,0))</f>
        <v>ewilsonepq@eepurl.com</v>
      </c>
      <c r="H927" s="1" t="str">
        <f t="array" ref="H927">XLOOKUP(C927,customers!$A$1:$A$1001,customers!$F$1:$F$1001,0)</f>
        <v>New York City</v>
      </c>
    </row>
    <row r="928" ht="15.75" customHeight="1">
      <c r="A928" s="1" t="s">
        <v>1799</v>
      </c>
      <c r="B928" s="2">
        <v>44012.0</v>
      </c>
      <c r="C928" s="1" t="s">
        <v>1800</v>
      </c>
      <c r="D928" s="3" t="s">
        <v>80</v>
      </c>
      <c r="E928" s="1">
        <v>5.0</v>
      </c>
      <c r="F928" s="1" t="str">
        <f t="array" ref="F928">XLOOKUP(C928,customers!A927:A1927, customers!B927:B1927,0)</f>
        <v>Evy Wilsone</v>
      </c>
      <c r="G928" s="1" t="str">
        <f t="array" ref="G928">IF(XLOOKUP(C929,customers!$A$1:$A$1001,customers!$C$1:$C$1001,0)=0,"",XLOOKUP(C929,customers!$A$1:$A$1001,customers!$C$1:$C$1001,0))</f>
        <v>dduffiepr@time.com</v>
      </c>
      <c r="H928" s="1" t="str">
        <f t="array" ref="H928">XLOOKUP(C928,customers!$A$1:$A$1001,customers!$F$1:$F$1001,0)</f>
        <v>Washington</v>
      </c>
    </row>
    <row r="929" ht="15.75" customHeight="1">
      <c r="A929" s="1" t="s">
        <v>1801</v>
      </c>
      <c r="B929" s="2">
        <v>43474.0</v>
      </c>
      <c r="C929" s="1" t="s">
        <v>1802</v>
      </c>
      <c r="D929" s="3" t="s">
        <v>543</v>
      </c>
      <c r="E929" s="1">
        <v>4.0</v>
      </c>
      <c r="F929" s="1" t="str">
        <f t="array" ref="F929">XLOOKUP(C929,customers!A928:A1928, customers!B928:B1928,0)</f>
        <v>Dolores Duffie</v>
      </c>
      <c r="G929" s="1" t="str">
        <f t="array" ref="G929">IF(XLOOKUP(C930,customers!$A$1:$A$1001,customers!$C$1:$C$1001,0)=0,"",XLOOKUP(C930,customers!$A$1:$A$1001,customers!$C$1:$C$1001,0))</f>
        <v>mmatiasekps@ucoz.ru</v>
      </c>
      <c r="H929" s="1" t="str">
        <f t="array" ref="H929">XLOOKUP(C929,customers!$A$1:$A$1001,customers!$F$1:$F$1001,0)</f>
        <v>Portland</v>
      </c>
    </row>
    <row r="930" ht="15.75" customHeight="1">
      <c r="A930" s="1" t="s">
        <v>1803</v>
      </c>
      <c r="B930" s="2">
        <v>44754.0</v>
      </c>
      <c r="C930" s="1" t="s">
        <v>1804</v>
      </c>
      <c r="D930" s="3" t="s">
        <v>125</v>
      </c>
      <c r="E930" s="1">
        <v>2.0</v>
      </c>
      <c r="F930" s="1" t="str">
        <f t="array" ref="F930">XLOOKUP(C930,customers!A929:A1929, customers!B929:B1929,0)</f>
        <v>Mathilda Matiasek</v>
      </c>
      <c r="G930" s="1" t="str">
        <f t="array" ref="G930">IF(XLOOKUP(C931,customers!$A$1:$A$1001,customers!$C$1:$C$1001,0)=0,"",XLOOKUP(C931,customers!$A$1:$A$1001,customers!$C$1:$C$1001,0))</f>
        <v>jcamillopt@shinystat.com</v>
      </c>
      <c r="H930" s="1" t="str">
        <f t="array" ref="H930">XLOOKUP(C930,customers!$A$1:$A$1001,customers!$F$1:$F$1001,0)</f>
        <v>New York City</v>
      </c>
    </row>
    <row r="931" ht="15.75" customHeight="1">
      <c r="A931" s="1" t="s">
        <v>1805</v>
      </c>
      <c r="B931" s="2">
        <v>44165.0</v>
      </c>
      <c r="C931" s="1" t="s">
        <v>1806</v>
      </c>
      <c r="D931" s="3" t="s">
        <v>267</v>
      </c>
      <c r="E931" s="1">
        <v>2.0</v>
      </c>
      <c r="F931" s="1" t="str">
        <f t="array" ref="F931">XLOOKUP(C931,customers!A930:A1930, customers!B930:B1930,0)</f>
        <v>Jarred Camillo</v>
      </c>
      <c r="G931" s="1" t="str">
        <f t="array" ref="G931">IF(XLOOKUP(C932,customers!$A$1:$A$1001,customers!$C$1:$C$1001,0)=0,"",XLOOKUP(C932,customers!$A$1:$A$1001,customers!$C$1:$C$1001,0))</f>
        <v>kphilbrickpu@cdc.gov</v>
      </c>
      <c r="H931" s="1" t="str">
        <f t="array" ref="H931">XLOOKUP(C931,customers!$A$1:$A$1001,customers!$F$1:$F$1001,0)</f>
        <v>Washington</v>
      </c>
    </row>
    <row r="932" ht="15.75" customHeight="1">
      <c r="A932" s="1" t="s">
        <v>1807</v>
      </c>
      <c r="B932" s="2">
        <v>43546.0</v>
      </c>
      <c r="C932" s="1" t="s">
        <v>1808</v>
      </c>
      <c r="D932" s="3" t="s">
        <v>258</v>
      </c>
      <c r="E932" s="1">
        <v>1.0</v>
      </c>
      <c r="F932" s="1" t="str">
        <f t="array" ref="F932">XLOOKUP(C932,customers!A931:A1931, customers!B931:B1931,0)</f>
        <v>Kameko Philbrick</v>
      </c>
      <c r="G932" s="1" t="str">
        <f t="array" ref="G932">IF(XLOOKUP(C933,customers!$A$1:$A$1001,customers!$C$1:$C$1001,0)=0,"",XLOOKUP(C933,customers!$A$1:$A$1001,customers!$C$1:$C$1001,0))</f>
        <v/>
      </c>
      <c r="H932" s="1" t="str">
        <f t="array" ref="H932">XLOOKUP(C932,customers!$A$1:$A$1001,customers!$F$1:$F$1001,0)</f>
        <v>Washington</v>
      </c>
    </row>
    <row r="933" ht="15.75" customHeight="1">
      <c r="A933" s="1" t="s">
        <v>1809</v>
      </c>
      <c r="B933" s="2">
        <v>44607.0</v>
      </c>
      <c r="C933" s="1" t="s">
        <v>1810</v>
      </c>
      <c r="D933" s="3" t="s">
        <v>85</v>
      </c>
      <c r="E933" s="1">
        <v>4.0</v>
      </c>
      <c r="F933" s="1" t="str">
        <f t="array" ref="F933">XLOOKUP(C933,customers!A932:A1932, customers!B932:B1932,0)</f>
        <v>Mallory Shrimpling</v>
      </c>
      <c r="G933" s="1" t="str">
        <f t="array" ref="G933">IF(XLOOKUP(C934,customers!$A$1:$A$1001,customers!$C$1:$C$1001,0)=0,"",XLOOKUP(C934,customers!$A$1:$A$1001,customers!$C$1:$C$1001,0))</f>
        <v>bsillispw@istockphoto.com</v>
      </c>
      <c r="H933" s="1" t="str">
        <f t="array" ref="H933">XLOOKUP(C933,customers!$A$1:$A$1001,customers!$F$1:$F$1001,0)</f>
        <v>Allentown</v>
      </c>
    </row>
    <row r="934" ht="15.75" customHeight="1">
      <c r="A934" s="1" t="s">
        <v>1811</v>
      </c>
      <c r="B934" s="2">
        <v>44117.0</v>
      </c>
      <c r="C934" s="1" t="s">
        <v>1812</v>
      </c>
      <c r="D934" s="3" t="s">
        <v>22</v>
      </c>
      <c r="E934" s="1">
        <v>4.0</v>
      </c>
      <c r="F934" s="1" t="str">
        <f t="array" ref="F934">XLOOKUP(C934,customers!A933:A1933, customers!B933:B1933,0)</f>
        <v>Barnett Sillis</v>
      </c>
      <c r="G934" s="1" t="str">
        <f t="array" ref="G934">IF(XLOOKUP(C935,customers!$A$1:$A$1001,customers!$C$1:$C$1001,0)=0,"",XLOOKUP(C935,customers!$A$1:$A$1001,customers!$C$1:$C$1001,0))</f>
        <v/>
      </c>
      <c r="H934" s="1" t="str">
        <f t="array" ref="H934">XLOOKUP(C934,customers!$A$1:$A$1001,customers!$F$1:$F$1001,0)</f>
        <v>Miami</v>
      </c>
    </row>
    <row r="935" ht="15.75" customHeight="1">
      <c r="A935" s="1" t="s">
        <v>1813</v>
      </c>
      <c r="B935" s="2">
        <v>44557.0</v>
      </c>
      <c r="C935" s="1" t="s">
        <v>1814</v>
      </c>
      <c r="D935" s="3" t="s">
        <v>192</v>
      </c>
      <c r="E935" s="1">
        <v>3.0</v>
      </c>
      <c r="F935" s="1" t="str">
        <f t="array" ref="F935">XLOOKUP(C935,customers!A934:A1934, customers!B934:B1934,0)</f>
        <v>Brenn Dundredge</v>
      </c>
      <c r="G935" s="1" t="str">
        <f t="array" ref="G935">IF(XLOOKUP(C936,customers!$A$1:$A$1001,customers!$C$1:$C$1001,0)=0,"",XLOOKUP(C936,customers!$A$1:$A$1001,customers!$C$1:$C$1001,0))</f>
        <v>rcuttspy@techcrunch.com</v>
      </c>
      <c r="H935" s="1" t="str">
        <f t="array" ref="H935">XLOOKUP(C935,customers!$A$1:$A$1001,customers!$F$1:$F$1001,0)</f>
        <v>Oklahoma City</v>
      </c>
    </row>
    <row r="936" ht="15.75" customHeight="1">
      <c r="A936" s="1" t="s">
        <v>1815</v>
      </c>
      <c r="B936" s="2">
        <v>44409.0</v>
      </c>
      <c r="C936" s="1" t="s">
        <v>1816</v>
      </c>
      <c r="D936" s="3" t="s">
        <v>54</v>
      </c>
      <c r="E936" s="1">
        <v>5.0</v>
      </c>
      <c r="F936" s="1" t="str">
        <f t="array" ref="F936">XLOOKUP(C936,customers!A935:A1935, customers!B935:B1935,0)</f>
        <v>Read Cutts</v>
      </c>
      <c r="G936" s="1" t="str">
        <f t="array" ref="G936">IF(XLOOKUP(C937,customers!$A$1:$A$1001,customers!$C$1:$C$1001,0)=0,"",XLOOKUP(C937,customers!$A$1:$A$1001,customers!$C$1:$C$1001,0))</f>
        <v>mdelvespz@nature.com</v>
      </c>
      <c r="H936" s="1" t="str">
        <f t="array" ref="H936">XLOOKUP(C936,customers!$A$1:$A$1001,customers!$F$1:$F$1001,0)</f>
        <v>Rockford</v>
      </c>
    </row>
    <row r="937" ht="15.75" customHeight="1">
      <c r="A937" s="1" t="s">
        <v>1817</v>
      </c>
      <c r="B937" s="2">
        <v>44153.0</v>
      </c>
      <c r="C937" s="1" t="s">
        <v>1818</v>
      </c>
      <c r="D937" s="3" t="s">
        <v>184</v>
      </c>
      <c r="E937" s="1">
        <v>6.0</v>
      </c>
      <c r="F937" s="1" t="str">
        <f t="array" ref="F937">XLOOKUP(C937,customers!A936:A1936, customers!B936:B1936,0)</f>
        <v>Michale Delves</v>
      </c>
      <c r="G937" s="1" t="str">
        <f t="array" ref="G937">IF(XLOOKUP(C938,customers!$A$1:$A$1001,customers!$C$1:$C$1001,0)=0,"",XLOOKUP(C938,customers!$A$1:$A$1001,customers!$C$1:$C$1001,0))</f>
        <v>dgrittonq0@nydailynews.com</v>
      </c>
      <c r="H937" s="1" t="str">
        <f t="array" ref="H937">XLOOKUP(C937,customers!$A$1:$A$1001,customers!$F$1:$F$1001,0)</f>
        <v>Montgomery</v>
      </c>
    </row>
    <row r="938" ht="15.75" customHeight="1">
      <c r="A938" s="1" t="s">
        <v>1819</v>
      </c>
      <c r="B938" s="2">
        <v>44493.0</v>
      </c>
      <c r="C938" s="1" t="s">
        <v>1820</v>
      </c>
      <c r="D938" s="3" t="s">
        <v>136</v>
      </c>
      <c r="E938" s="1">
        <v>3.0</v>
      </c>
      <c r="F938" s="1" t="str">
        <f t="array" ref="F938">XLOOKUP(C938,customers!A937:A1937, customers!B937:B1937,0)</f>
        <v>Devland Gritton</v>
      </c>
      <c r="G938" s="1" t="str">
        <f t="array" ref="G938">IF(XLOOKUP(C939,customers!$A$1:$A$1001,customers!$C$1:$C$1001,0)=0,"",XLOOKUP(C939,customers!$A$1:$A$1001,customers!$C$1:$C$1001,0))</f>
        <v>dgrittonq0@nydailynews.com</v>
      </c>
      <c r="H938" s="1" t="str">
        <f t="array" ref="H938">XLOOKUP(C938,customers!$A$1:$A$1001,customers!$F$1:$F$1001,0)</f>
        <v>Pasadena</v>
      </c>
    </row>
    <row r="939" ht="15.75" customHeight="1">
      <c r="A939" s="1" t="s">
        <v>1819</v>
      </c>
      <c r="B939" s="2">
        <v>44493.0</v>
      </c>
      <c r="C939" s="1" t="s">
        <v>1820</v>
      </c>
      <c r="D939" s="3" t="s">
        <v>54</v>
      </c>
      <c r="E939" s="1">
        <v>4.0</v>
      </c>
      <c r="F939" s="1" t="str">
        <f t="array" ref="F939">XLOOKUP(C939,customers!A938:A1938, customers!B938:B1938,0)</f>
        <v>Devland Gritton</v>
      </c>
      <c r="G939" s="1" t="str">
        <f t="array" ref="G939">IF(XLOOKUP(C940,customers!$A$1:$A$1001,customers!$C$1:$C$1001,0)=0,"",XLOOKUP(C940,customers!$A$1:$A$1001,customers!$C$1:$C$1001,0))</f>
        <v>dgutq2@umich.edu</v>
      </c>
      <c r="H939" s="1" t="str">
        <f t="array" ref="H939">XLOOKUP(C939,customers!$A$1:$A$1001,customers!$F$1:$F$1001,0)</f>
        <v>Pasadena</v>
      </c>
    </row>
    <row r="940" ht="15.75" customHeight="1">
      <c r="A940" s="1" t="s">
        <v>1821</v>
      </c>
      <c r="B940" s="2">
        <v>43829.0</v>
      </c>
      <c r="C940" s="1" t="s">
        <v>1822</v>
      </c>
      <c r="D940" s="3" t="s">
        <v>150</v>
      </c>
      <c r="E940" s="1">
        <v>5.0</v>
      </c>
      <c r="F940" s="1" t="str">
        <f t="array" ref="F940">XLOOKUP(C940,customers!A939:A1939, customers!B939:B1939,0)</f>
        <v>Dell Gut</v>
      </c>
      <c r="G940" s="1" t="str">
        <f t="array" ref="G940">IF(XLOOKUP(C941,customers!$A$1:$A$1001,customers!$C$1:$C$1001,0)=0,"",XLOOKUP(C941,customers!$A$1:$A$1001,customers!$C$1:$C$1001,0))</f>
        <v>wpummeryq3@topsy.com</v>
      </c>
      <c r="H940" s="1" t="str">
        <f t="array" ref="H940">XLOOKUP(C940,customers!$A$1:$A$1001,customers!$F$1:$F$1001,0)</f>
        <v>Houston</v>
      </c>
    </row>
    <row r="941" ht="15.75" customHeight="1">
      <c r="A941" s="1" t="s">
        <v>1823</v>
      </c>
      <c r="B941" s="2">
        <v>44229.0</v>
      </c>
      <c r="C941" s="1" t="s">
        <v>1824</v>
      </c>
      <c r="D941" s="3" t="s">
        <v>32</v>
      </c>
      <c r="E941" s="1">
        <v>6.0</v>
      </c>
      <c r="F941" s="1" t="str">
        <f t="array" ref="F941">XLOOKUP(C941,customers!A940:A1940, customers!B940:B1940,0)</f>
        <v>Willy Pummery</v>
      </c>
      <c r="G941" s="1" t="str">
        <f t="array" ref="G941">IF(XLOOKUP(C942,customers!$A$1:$A$1001,customers!$C$1:$C$1001,0)=0,"",XLOOKUP(C942,customers!$A$1:$A$1001,customers!$C$1:$C$1001,0))</f>
        <v>gsiudaq4@nytimes.com</v>
      </c>
      <c r="H941" s="1" t="str">
        <f t="array" ref="H941">XLOOKUP(C941,customers!$A$1:$A$1001,customers!$F$1:$F$1001,0)</f>
        <v>Muskegon</v>
      </c>
    </row>
    <row r="942" ht="15.75" customHeight="1">
      <c r="A942" s="1" t="s">
        <v>1825</v>
      </c>
      <c r="B942" s="2">
        <v>44332.0</v>
      </c>
      <c r="C942" s="1" t="s">
        <v>1826</v>
      </c>
      <c r="D942" s="3" t="s">
        <v>170</v>
      </c>
      <c r="E942" s="1">
        <v>2.0</v>
      </c>
      <c r="F942" s="1" t="str">
        <f t="array" ref="F942">XLOOKUP(C942,customers!A941:A1941, customers!B941:B1941,0)</f>
        <v>Geoffrey Siuda</v>
      </c>
      <c r="G942" s="1" t="str">
        <f t="array" ref="G942">IF(XLOOKUP(C943,customers!$A$1:$A$1001,customers!$C$1:$C$1001,0)=0,"",XLOOKUP(C943,customers!$A$1:$A$1001,customers!$C$1:$C$1001,0))</f>
        <v>hcrowneq5@wufoo.com</v>
      </c>
      <c r="H942" s="1" t="str">
        <f t="array" ref="H942">XLOOKUP(C942,customers!$A$1:$A$1001,customers!$F$1:$F$1001,0)</f>
        <v>Washington</v>
      </c>
    </row>
    <row r="943" ht="15.75" customHeight="1">
      <c r="A943" s="1" t="s">
        <v>1827</v>
      </c>
      <c r="B943" s="2">
        <v>44674.0</v>
      </c>
      <c r="C943" s="1" t="s">
        <v>1828</v>
      </c>
      <c r="D943" s="3" t="s">
        <v>205</v>
      </c>
      <c r="E943" s="1">
        <v>2.0</v>
      </c>
      <c r="F943" s="1" t="str">
        <f t="array" ref="F943">XLOOKUP(C943,customers!A942:A1942, customers!B942:B1942,0)</f>
        <v>Henderson Crowne</v>
      </c>
      <c r="G943" s="1" t="str">
        <f t="array" ref="G943">IF(XLOOKUP(C944,customers!$A$1:$A$1001,customers!$C$1:$C$1001,0)=0,"",XLOOKUP(C944,customers!$A$1:$A$1001,customers!$C$1:$C$1001,0))</f>
        <v>vpawseyq6@tiny.cc</v>
      </c>
      <c r="H943" s="1" t="str">
        <f t="array" ref="H943">XLOOKUP(C943,customers!$A$1:$A$1001,customers!$F$1:$F$1001,0)</f>
        <v>Sallins</v>
      </c>
    </row>
    <row r="944" ht="15.75" customHeight="1">
      <c r="A944" s="1" t="s">
        <v>1829</v>
      </c>
      <c r="B944" s="2">
        <v>44464.0</v>
      </c>
      <c r="C944" s="1" t="s">
        <v>1830</v>
      </c>
      <c r="D944" s="3" t="s">
        <v>202</v>
      </c>
      <c r="E944" s="1">
        <v>3.0</v>
      </c>
      <c r="F944" s="1" t="str">
        <f t="array" ref="F944">XLOOKUP(C944,customers!A943:A1943, customers!B943:B1943,0)</f>
        <v>Vernor Pawsey</v>
      </c>
      <c r="G944" s="1" t="str">
        <f t="array" ref="G944">IF(XLOOKUP(C945,customers!$A$1:$A$1001,customers!$C$1:$C$1001,0)=0,"",XLOOKUP(C945,customers!$A$1:$A$1001,customers!$C$1:$C$1001,0))</f>
        <v>awaterhouseq7@istockphoto.com</v>
      </c>
      <c r="H944" s="1" t="str">
        <f t="array" ref="H944">XLOOKUP(C944,customers!$A$1:$A$1001,customers!$F$1:$F$1001,0)</f>
        <v>Macon</v>
      </c>
    </row>
    <row r="945" ht="15.75" customHeight="1">
      <c r="A945" s="1" t="s">
        <v>1831</v>
      </c>
      <c r="B945" s="2">
        <v>44719.0</v>
      </c>
      <c r="C945" s="1" t="s">
        <v>1832</v>
      </c>
      <c r="D945" s="3" t="s">
        <v>205</v>
      </c>
      <c r="E945" s="1">
        <v>6.0</v>
      </c>
      <c r="F945" s="1" t="str">
        <f t="array" ref="F945">XLOOKUP(C945,customers!A944:A1944, customers!B944:B1944,0)</f>
        <v>Augustin Waterhouse</v>
      </c>
      <c r="G945" s="1" t="str">
        <f t="array" ref="G945">IF(XLOOKUP(C946,customers!$A$1:$A$1001,customers!$C$1:$C$1001,0)=0,"",XLOOKUP(C946,customers!$A$1:$A$1001,customers!$C$1:$C$1001,0))</f>
        <v>fhaughianq8@1688.com</v>
      </c>
      <c r="H945" s="1" t="str">
        <f t="array" ref="H945">XLOOKUP(C945,customers!$A$1:$A$1001,customers!$F$1:$F$1001,0)</f>
        <v>Shreveport</v>
      </c>
    </row>
    <row r="946" ht="15.75" customHeight="1">
      <c r="A946" s="1" t="s">
        <v>1833</v>
      </c>
      <c r="B946" s="2">
        <v>44054.0</v>
      </c>
      <c r="C946" s="1" t="s">
        <v>1834</v>
      </c>
      <c r="D946" s="3" t="s">
        <v>170</v>
      </c>
      <c r="E946" s="1">
        <v>5.0</v>
      </c>
      <c r="F946" s="1" t="str">
        <f t="array" ref="F946">XLOOKUP(C946,customers!A945:A1945, customers!B945:B1945,0)</f>
        <v>Fanchon Haughian</v>
      </c>
      <c r="G946" s="1" t="str">
        <f t="array" ref="G946">IF(XLOOKUP(C947,customers!$A$1:$A$1001,customers!$C$1:$C$1001,0)=0,"",XLOOKUP(C947,customers!$A$1:$A$1001,customers!$C$1:$C$1001,0))</f>
        <v/>
      </c>
      <c r="H946" s="1" t="str">
        <f t="array" ref="H946">XLOOKUP(C946,customers!$A$1:$A$1001,customers!$F$1:$F$1001,0)</f>
        <v>Tacoma</v>
      </c>
    </row>
    <row r="947" ht="15.75" customHeight="1">
      <c r="A947" s="1" t="s">
        <v>1835</v>
      </c>
      <c r="B947" s="2">
        <v>43524.0</v>
      </c>
      <c r="C947" s="1" t="s">
        <v>1836</v>
      </c>
      <c r="D947" s="3" t="s">
        <v>122</v>
      </c>
      <c r="E947" s="1">
        <v>4.0</v>
      </c>
      <c r="F947" s="1" t="str">
        <f t="array" ref="F947">XLOOKUP(C947,customers!A946:A1946, customers!B946:B1946,0)</f>
        <v>Jaimie Hatz</v>
      </c>
      <c r="G947" s="1" t="str">
        <f t="array" ref="G947">IF(XLOOKUP(C948,customers!$A$1:$A$1001,customers!$C$1:$C$1001,0)=0,"",XLOOKUP(C948,customers!$A$1:$A$1001,customers!$C$1:$C$1001,0))</f>
        <v/>
      </c>
      <c r="H947" s="1" t="str">
        <f t="array" ref="H947">XLOOKUP(C947,customers!$A$1:$A$1001,customers!$F$1:$F$1001,0)</f>
        <v>El Paso</v>
      </c>
    </row>
    <row r="948" ht="15.75" customHeight="1">
      <c r="A948" s="1" t="s">
        <v>1837</v>
      </c>
      <c r="B948" s="2">
        <v>43719.0</v>
      </c>
      <c r="C948" s="1" t="s">
        <v>1838</v>
      </c>
      <c r="D948" s="3" t="s">
        <v>136</v>
      </c>
      <c r="E948" s="1">
        <v>3.0</v>
      </c>
      <c r="F948" s="1" t="str">
        <f t="array" ref="F948">XLOOKUP(C948,customers!A947:A1947, customers!B947:B1947,0)</f>
        <v>Edeline Edney</v>
      </c>
      <c r="G948" s="1" t="str">
        <f t="array" ref="G948">IF(XLOOKUP(C949,customers!$A$1:$A$1001,customers!$C$1:$C$1001,0)=0,"",XLOOKUP(C949,customers!$A$1:$A$1001,customers!$C$1:$C$1001,0))</f>
        <v>rfaltinqb@topsy.com</v>
      </c>
      <c r="H948" s="1" t="str">
        <f t="array" ref="H948">XLOOKUP(C948,customers!$A$1:$A$1001,customers!$F$1:$F$1001,0)</f>
        <v>Birmingham</v>
      </c>
    </row>
    <row r="949" ht="15.75" customHeight="1">
      <c r="A949" s="1" t="s">
        <v>1839</v>
      </c>
      <c r="B949" s="2">
        <v>44294.0</v>
      </c>
      <c r="C949" s="1" t="s">
        <v>1840</v>
      </c>
      <c r="D949" s="3" t="s">
        <v>74</v>
      </c>
      <c r="E949" s="1">
        <v>1.0</v>
      </c>
      <c r="F949" s="1" t="str">
        <f t="array" ref="F949">XLOOKUP(C949,customers!A948:A1948, customers!B948:B1948,0)</f>
        <v>Rickie Faltin</v>
      </c>
      <c r="G949" s="1" t="str">
        <f t="array" ref="G949">IF(XLOOKUP(C950,customers!$A$1:$A$1001,customers!$C$1:$C$1001,0)=0,"",XLOOKUP(C950,customers!$A$1:$A$1001,customers!$C$1:$C$1001,0))</f>
        <v>gcheekeqc@sitemeter.com</v>
      </c>
      <c r="H949" s="1" t="str">
        <f t="array" ref="H949">XLOOKUP(C949,customers!$A$1:$A$1001,customers!$F$1:$F$1001,0)</f>
        <v>Portumna</v>
      </c>
    </row>
    <row r="950" ht="15.75" customHeight="1">
      <c r="A950" s="1" t="s">
        <v>1841</v>
      </c>
      <c r="B950" s="2">
        <v>44445.0</v>
      </c>
      <c r="C950" s="1" t="s">
        <v>1842</v>
      </c>
      <c r="D950" s="3" t="s">
        <v>543</v>
      </c>
      <c r="E950" s="1">
        <v>3.0</v>
      </c>
      <c r="F950" s="1" t="str">
        <f t="array" ref="F950">XLOOKUP(C950,customers!A949:A1949, customers!B949:B1949,0)</f>
        <v>Gnni Cheeke</v>
      </c>
      <c r="G950" s="1" t="str">
        <f t="array" ref="G950">IF(XLOOKUP(C951,customers!$A$1:$A$1001,customers!$C$1:$C$1001,0)=0,"",XLOOKUP(C951,customers!$A$1:$A$1001,customers!$C$1:$C$1001,0))</f>
        <v>grattqd@phpbb.com</v>
      </c>
      <c r="H950" s="1" t="str">
        <f t="array" ref="H950">XLOOKUP(C950,customers!$A$1:$A$1001,customers!$F$1:$F$1001,0)</f>
        <v>London</v>
      </c>
    </row>
    <row r="951" ht="15.75" customHeight="1">
      <c r="A951" s="1" t="s">
        <v>1843</v>
      </c>
      <c r="B951" s="2">
        <v>44449.0</v>
      </c>
      <c r="C951" s="1" t="s">
        <v>1844</v>
      </c>
      <c r="D951" s="3" t="s">
        <v>23</v>
      </c>
      <c r="E951" s="1">
        <v>4.0</v>
      </c>
      <c r="F951" s="1" t="str">
        <f t="array" ref="F951">XLOOKUP(C951,customers!A950:A1950, customers!B950:B1950,0)</f>
        <v>Gwenni Ratt</v>
      </c>
      <c r="G951" s="1" t="str">
        <f t="array" ref="G951">IF(XLOOKUP(C952,customers!$A$1:$A$1001,customers!$C$1:$C$1001,0)=0,"",XLOOKUP(C952,customers!$A$1:$A$1001,customers!$C$1:$C$1001,0))</f>
        <v/>
      </c>
      <c r="H951" s="1" t="str">
        <f t="array" ref="H951">XLOOKUP(C951,customers!$A$1:$A$1001,customers!$F$1:$F$1001,0)</f>
        <v>Castlemartyr</v>
      </c>
    </row>
    <row r="952" ht="15.75" customHeight="1">
      <c r="A952" s="1" t="s">
        <v>1845</v>
      </c>
      <c r="B952" s="2">
        <v>44703.0</v>
      </c>
      <c r="C952" s="1" t="s">
        <v>1846</v>
      </c>
      <c r="D952" s="3" t="s">
        <v>195</v>
      </c>
      <c r="E952" s="1">
        <v>4.0</v>
      </c>
      <c r="F952" s="1" t="str">
        <f t="array" ref="F952">XLOOKUP(C952,customers!A951:A1951, customers!B951:B1951,0)</f>
        <v>Johnath Fairebrother</v>
      </c>
      <c r="G952" s="1" t="str">
        <f t="array" ref="G952">IF(XLOOKUP(C953,customers!$A$1:$A$1001,customers!$C$1:$C$1001,0)=0,"",XLOOKUP(C953,customers!$A$1:$A$1001,customers!$C$1:$C$1001,0))</f>
        <v>ieberleinqf@hc360.com</v>
      </c>
      <c r="H952" s="1" t="str">
        <f t="array" ref="H952">XLOOKUP(C952,customers!$A$1:$A$1001,customers!$F$1:$F$1001,0)</f>
        <v>Wilmington</v>
      </c>
    </row>
    <row r="953" ht="15.75" customHeight="1">
      <c r="A953" s="1" t="s">
        <v>1847</v>
      </c>
      <c r="B953" s="2">
        <v>44092.0</v>
      </c>
      <c r="C953" s="1" t="s">
        <v>1848</v>
      </c>
      <c r="D953" s="3" t="s">
        <v>195</v>
      </c>
      <c r="E953" s="1">
        <v>6.0</v>
      </c>
      <c r="F953" s="1" t="str">
        <f t="array" ref="F953">XLOOKUP(C953,customers!A952:A1952, customers!B952:B1952,0)</f>
        <v>Ingamar Eberlein</v>
      </c>
      <c r="G953" s="1" t="str">
        <f t="array" ref="G953">IF(XLOOKUP(C954,customers!$A$1:$A$1001,customers!$C$1:$C$1001,0)=0,"",XLOOKUP(C954,customers!$A$1:$A$1001,customers!$C$1:$C$1001,0))</f>
        <v>jdrengqg@uiuc.edu</v>
      </c>
      <c r="H953" s="1" t="str">
        <f t="array" ref="H953">XLOOKUP(C953,customers!$A$1:$A$1001,customers!$F$1:$F$1001,0)</f>
        <v>Harrisburg</v>
      </c>
    </row>
    <row r="954" ht="15.75" customHeight="1">
      <c r="A954" s="1" t="s">
        <v>1849</v>
      </c>
      <c r="B954" s="2">
        <v>44439.0</v>
      </c>
      <c r="C954" s="1" t="s">
        <v>1850</v>
      </c>
      <c r="D954" s="3" t="s">
        <v>74</v>
      </c>
      <c r="E954" s="1">
        <v>2.0</v>
      </c>
      <c r="F954" s="1" t="str">
        <f t="array" ref="F954">XLOOKUP(C954,customers!A953:A1953, customers!B953:B1953,0)</f>
        <v>Jilly Dreng</v>
      </c>
      <c r="G954" s="1" t="str">
        <f t="array" ref="G954">IF(XLOOKUP(C955,customers!$A$1:$A$1001,customers!$C$1:$C$1001,0)=0,"",XLOOKUP(C955,customers!$A$1:$A$1001,customers!$C$1:$C$1001,0))</f>
        <v/>
      </c>
      <c r="H954" s="1" t="str">
        <f t="array" ref="H954">XLOOKUP(C954,customers!$A$1:$A$1001,customers!$F$1:$F$1001,0)</f>
        <v>Sallins</v>
      </c>
    </row>
    <row r="955" ht="15.75" customHeight="1">
      <c r="A955" s="1" t="s">
        <v>1851</v>
      </c>
      <c r="B955" s="2">
        <v>44582.0</v>
      </c>
      <c r="C955" s="1" t="s">
        <v>1814</v>
      </c>
      <c r="D955" s="3" t="s">
        <v>128</v>
      </c>
      <c r="E955" s="1">
        <v>1.0</v>
      </c>
      <c r="F955" s="1">
        <f t="array" ref="F955">XLOOKUP(C955,customers!A954:A1954, customers!B954:B1954,0)</f>
        <v>0</v>
      </c>
      <c r="G955" s="1" t="str">
        <f t="array" ref="G955">IF(XLOOKUP(C956,customers!$A$1:$A$1001,customers!$C$1:$C$1001,0)=0,"",XLOOKUP(C956,customers!$A$1:$A$1001,customers!$C$1:$C$1001,0))</f>
        <v/>
      </c>
      <c r="H955" s="1" t="str">
        <f t="array" ref="H955">XLOOKUP(C955,customers!$A$1:$A$1001,customers!$F$1:$F$1001,0)</f>
        <v>Oklahoma City</v>
      </c>
    </row>
    <row r="956" ht="15.75" customHeight="1">
      <c r="A956" s="1" t="s">
        <v>1852</v>
      </c>
      <c r="B956" s="2">
        <v>44722.0</v>
      </c>
      <c r="C956" s="1" t="s">
        <v>1814</v>
      </c>
      <c r="D956" s="3" t="s">
        <v>543</v>
      </c>
      <c r="E956" s="1">
        <v>1.0</v>
      </c>
      <c r="F956" s="1">
        <f t="array" ref="F956">XLOOKUP(C956,customers!A955:A1955, customers!B955:B1955,0)</f>
        <v>0</v>
      </c>
      <c r="G956" s="1" t="str">
        <f t="array" ref="G956">IF(XLOOKUP(C957,customers!$A$1:$A$1001,customers!$C$1:$C$1001,0)=0,"",XLOOKUP(C957,customers!$A$1:$A$1001,customers!$C$1:$C$1001,0))</f>
        <v/>
      </c>
      <c r="H956" s="1" t="str">
        <f t="array" ref="H956">XLOOKUP(C956,customers!$A$1:$A$1001,customers!$F$1:$F$1001,0)</f>
        <v>Oklahoma City</v>
      </c>
    </row>
    <row r="957" ht="15.75" customHeight="1">
      <c r="A957" s="1" t="s">
        <v>1853</v>
      </c>
      <c r="B957" s="2">
        <v>43582.0</v>
      </c>
      <c r="C957" s="1" t="s">
        <v>1814</v>
      </c>
      <c r="D957" s="3" t="s">
        <v>43</v>
      </c>
      <c r="E957" s="1">
        <v>5.0</v>
      </c>
      <c r="F957" s="1">
        <f t="array" ref="F957">XLOOKUP(C957,customers!A956:A1956, customers!B956:B1956,0)</f>
        <v>0</v>
      </c>
      <c r="G957" s="1" t="str">
        <f t="array" ref="G957">IF(XLOOKUP(C958,customers!$A$1:$A$1001,customers!$C$1:$C$1001,0)=0,"",XLOOKUP(C958,customers!$A$1:$A$1001,customers!$C$1:$C$1001,0))</f>
        <v/>
      </c>
      <c r="H957" s="1" t="str">
        <f t="array" ref="H957">XLOOKUP(C957,customers!$A$1:$A$1001,customers!$F$1:$F$1001,0)</f>
        <v>Oklahoma City</v>
      </c>
    </row>
    <row r="958" ht="15.75" customHeight="1">
      <c r="A958" s="1" t="s">
        <v>1853</v>
      </c>
      <c r="B958" s="2">
        <v>43582.0</v>
      </c>
      <c r="C958" s="1" t="s">
        <v>1814</v>
      </c>
      <c r="D958" s="3" t="s">
        <v>23</v>
      </c>
      <c r="E958" s="1">
        <v>2.0</v>
      </c>
      <c r="F958" s="1">
        <f t="array" ref="F958">XLOOKUP(C958,customers!A957:A1957, customers!B957:B1957,0)</f>
        <v>0</v>
      </c>
      <c r="G958" s="1" t="str">
        <f t="array" ref="G958">IF(XLOOKUP(C959,customers!$A$1:$A$1001,customers!$C$1:$C$1001,0)=0,"",XLOOKUP(C959,customers!$A$1:$A$1001,customers!$C$1:$C$1001,0))</f>
        <v/>
      </c>
      <c r="H958" s="1" t="str">
        <f t="array" ref="H958">XLOOKUP(C958,customers!$A$1:$A$1001,customers!$F$1:$F$1001,0)</f>
        <v>Oklahoma City</v>
      </c>
    </row>
    <row r="959" ht="15.75" customHeight="1">
      <c r="A959" s="1" t="s">
        <v>1853</v>
      </c>
      <c r="B959" s="2">
        <v>43582.0</v>
      </c>
      <c r="C959" s="1" t="s">
        <v>1814</v>
      </c>
      <c r="D959" s="3" t="s">
        <v>150</v>
      </c>
      <c r="E959" s="1">
        <v>1.0</v>
      </c>
      <c r="F959" s="1">
        <f t="array" ref="F959">XLOOKUP(C959,customers!A958:A1958, customers!B958:B1958,0)</f>
        <v>0</v>
      </c>
      <c r="G959" s="1" t="str">
        <f t="array" ref="G959">IF(XLOOKUP(C960,customers!$A$1:$A$1001,customers!$C$1:$C$1001,0)=0,"",XLOOKUP(C960,customers!$A$1:$A$1001,customers!$C$1:$C$1001,0))</f>
        <v/>
      </c>
      <c r="H959" s="1" t="str">
        <f t="array" ref="H959">XLOOKUP(C959,customers!$A$1:$A$1001,customers!$F$1:$F$1001,0)</f>
        <v>Oklahoma City</v>
      </c>
    </row>
    <row r="960" ht="15.75" customHeight="1">
      <c r="A960" s="1" t="s">
        <v>1853</v>
      </c>
      <c r="B960" s="2">
        <v>43582.0</v>
      </c>
      <c r="C960" s="1" t="s">
        <v>1814</v>
      </c>
      <c r="D960" s="3" t="s">
        <v>128</v>
      </c>
      <c r="E960" s="1">
        <v>2.0</v>
      </c>
      <c r="F960" s="1">
        <f t="array" ref="F960">XLOOKUP(C960,customers!A959:A1959, customers!B959:B1959,0)</f>
        <v>0</v>
      </c>
      <c r="G960" s="1" t="str">
        <f t="array" ref="G960">IF(XLOOKUP(C961,customers!$A$1:$A$1001,customers!$C$1:$C$1001,0)=0,"",XLOOKUP(C961,customers!$A$1:$A$1001,customers!$C$1:$C$1001,0))</f>
        <v>rstrathernqn@devhub.com</v>
      </c>
      <c r="H960" s="1" t="str">
        <f t="array" ref="H960">XLOOKUP(C960,customers!$A$1:$A$1001,customers!$F$1:$F$1001,0)</f>
        <v>Oklahoma City</v>
      </c>
    </row>
    <row r="961" ht="15.75" customHeight="1">
      <c r="A961" s="1" t="s">
        <v>1854</v>
      </c>
      <c r="B961" s="2">
        <v>44598.0</v>
      </c>
      <c r="C961" s="1" t="s">
        <v>1855</v>
      </c>
      <c r="D961" s="3" t="s">
        <v>32</v>
      </c>
      <c r="E961" s="1">
        <v>5.0</v>
      </c>
      <c r="F961" s="1" t="str">
        <f t="array" ref="F961">XLOOKUP(C961,customers!A960:A1960, customers!B960:B1960,0)</f>
        <v>Rhodie Strathern</v>
      </c>
      <c r="G961" s="1" t="str">
        <f t="array" ref="G961">IF(XLOOKUP(C962,customers!$A$1:$A$1001,customers!$C$1:$C$1001,0)=0,"",XLOOKUP(C962,customers!$A$1:$A$1001,customers!$C$1:$C$1001,0))</f>
        <v>cmiguelqo@exblog.jp</v>
      </c>
      <c r="H961" s="1" t="str">
        <f t="array" ref="H961">XLOOKUP(C961,customers!$A$1:$A$1001,customers!$F$1:$F$1001,0)</f>
        <v>Little Rock</v>
      </c>
    </row>
    <row r="962" ht="15.75" customHeight="1">
      <c r="A962" s="1" t="s">
        <v>1856</v>
      </c>
      <c r="B962" s="2">
        <v>44591.0</v>
      </c>
      <c r="C962" s="1" t="s">
        <v>1857</v>
      </c>
      <c r="D962" s="3" t="s">
        <v>145</v>
      </c>
      <c r="E962" s="1">
        <v>5.0</v>
      </c>
      <c r="F962" s="1" t="str">
        <f t="array" ref="F962">XLOOKUP(C962,customers!A961:A1961, customers!B961:B1961,0)</f>
        <v>Chad Miguel</v>
      </c>
      <c r="G962" s="1" t="str">
        <f t="array" ref="G962">IF(XLOOKUP(C963,customers!$A$1:$A$1001,customers!$C$1:$C$1001,0)=0,"",XLOOKUP(C963,customers!$A$1:$A$1001,customers!$C$1:$C$1001,0))</f>
        <v/>
      </c>
      <c r="H962" s="1" t="str">
        <f t="array" ref="H962">XLOOKUP(C962,customers!$A$1:$A$1001,customers!$F$1:$F$1001,0)</f>
        <v>Hagerstown</v>
      </c>
    </row>
    <row r="963" ht="15.75" customHeight="1">
      <c r="A963" s="1" t="s">
        <v>1858</v>
      </c>
      <c r="B963" s="2">
        <v>44158.0</v>
      </c>
      <c r="C963" s="1" t="s">
        <v>1859</v>
      </c>
      <c r="D963" s="3" t="s">
        <v>131</v>
      </c>
      <c r="E963" s="1">
        <v>2.0</v>
      </c>
      <c r="F963" s="1" t="str">
        <f t="array" ref="F963">XLOOKUP(C963,customers!A962:A1962, customers!B962:B1962,0)</f>
        <v>Florinda Matusovsky</v>
      </c>
      <c r="G963" s="1" t="str">
        <f t="array" ref="G963">IF(XLOOKUP(C964,customers!$A$1:$A$1001,customers!$C$1:$C$1001,0)=0,"",XLOOKUP(C964,customers!$A$1:$A$1001,customers!$C$1:$C$1001,0))</f>
        <v>mrocksqq@exblog.jp</v>
      </c>
      <c r="H963" s="1" t="str">
        <f t="array" ref="H963">XLOOKUP(C963,customers!$A$1:$A$1001,customers!$F$1:$F$1001,0)</f>
        <v>Albany</v>
      </c>
    </row>
    <row r="964" ht="15.75" customHeight="1">
      <c r="A964" s="1" t="s">
        <v>1860</v>
      </c>
      <c r="B964" s="2">
        <v>44664.0</v>
      </c>
      <c r="C964" s="1" t="s">
        <v>1861</v>
      </c>
      <c r="D964" s="3" t="s">
        <v>192</v>
      </c>
      <c r="E964" s="1">
        <v>1.0</v>
      </c>
      <c r="F964" s="1" t="str">
        <f t="array" ref="F964">XLOOKUP(C964,customers!A963:A1963, customers!B963:B1963,0)</f>
        <v>Morly Rocks</v>
      </c>
      <c r="G964" s="1" t="str">
        <f t="array" ref="G964">IF(XLOOKUP(C965,customers!$A$1:$A$1001,customers!$C$1:$C$1001,0)=0,"",XLOOKUP(C965,customers!$A$1:$A$1001,customers!$C$1:$C$1001,0))</f>
        <v>yburrellsqr@vinaora.com</v>
      </c>
      <c r="H964" s="1" t="str">
        <f t="array" ref="H964">XLOOKUP(C964,customers!$A$1:$A$1001,customers!$F$1:$F$1001,0)</f>
        <v>Crossmolina</v>
      </c>
    </row>
    <row r="965" ht="15.75" customHeight="1">
      <c r="A965" s="1" t="s">
        <v>1862</v>
      </c>
      <c r="B965" s="2">
        <v>44203.0</v>
      </c>
      <c r="C965" s="1" t="s">
        <v>1863</v>
      </c>
      <c r="D965" s="3" t="s">
        <v>35</v>
      </c>
      <c r="E965" s="1">
        <v>4.0</v>
      </c>
      <c r="F965" s="1" t="str">
        <f t="array" ref="F965">XLOOKUP(C965,customers!A964:A1964, customers!B964:B1964,0)</f>
        <v>Yuri Burrells</v>
      </c>
      <c r="G965" s="1" t="str">
        <f t="array" ref="G965">IF(XLOOKUP(C966,customers!$A$1:$A$1001,customers!$C$1:$C$1001,0)=0,"",XLOOKUP(C966,customers!$A$1:$A$1001,customers!$C$1:$C$1001,0))</f>
        <v>cgoodrumqs@goodreads.com</v>
      </c>
      <c r="H965" s="1" t="str">
        <f t="array" ref="H965">XLOOKUP(C965,customers!$A$1:$A$1001,customers!$F$1:$F$1001,0)</f>
        <v>Lexington</v>
      </c>
    </row>
    <row r="966" ht="15.75" customHeight="1">
      <c r="A966" s="1" t="s">
        <v>1864</v>
      </c>
      <c r="B966" s="2">
        <v>43865.0</v>
      </c>
      <c r="C966" s="1" t="s">
        <v>1865</v>
      </c>
      <c r="D966" s="3" t="s">
        <v>267</v>
      </c>
      <c r="E966" s="1">
        <v>5.0</v>
      </c>
      <c r="F966" s="1" t="str">
        <f t="array" ref="F966">XLOOKUP(C966,customers!A965:A1965, customers!B965:B1965,0)</f>
        <v>Cleopatra Goodrum</v>
      </c>
      <c r="G966" s="1" t="str">
        <f t="array" ref="G966">IF(XLOOKUP(C967,customers!$A$1:$A$1001,customers!$C$1:$C$1001,0)=0,"",XLOOKUP(C967,customers!$A$1:$A$1001,customers!$C$1:$C$1001,0))</f>
        <v>jjefferysqt@blog.com</v>
      </c>
      <c r="H966" s="1" t="str">
        <f t="array" ref="H966">XLOOKUP(C966,customers!$A$1:$A$1001,customers!$F$1:$F$1001,0)</f>
        <v>San Diego</v>
      </c>
    </row>
    <row r="967" ht="15.75" customHeight="1">
      <c r="A967" s="1" t="s">
        <v>1866</v>
      </c>
      <c r="B967" s="2">
        <v>43724.0</v>
      </c>
      <c r="C967" s="1" t="s">
        <v>1867</v>
      </c>
      <c r="D967" s="3" t="s">
        <v>15</v>
      </c>
      <c r="E967" s="1">
        <v>3.0</v>
      </c>
      <c r="F967" s="1" t="str">
        <f t="array" ref="F967">XLOOKUP(C967,customers!A966:A1966, customers!B966:B1966,0)</f>
        <v>Joey Jefferys</v>
      </c>
      <c r="G967" s="1" t="str">
        <f t="array" ref="G967">IF(XLOOKUP(C968,customers!$A$1:$A$1001,customers!$C$1:$C$1001,0)=0,"",XLOOKUP(C968,customers!$A$1:$A$1001,customers!$C$1:$C$1001,0))</f>
        <v>bwardellqu@adobe.com</v>
      </c>
      <c r="H967" s="1" t="str">
        <f t="array" ref="H967">XLOOKUP(C967,customers!$A$1:$A$1001,customers!$F$1:$F$1001,0)</f>
        <v>Los Angeles</v>
      </c>
    </row>
    <row r="968" ht="15.75" customHeight="1">
      <c r="A968" s="1" t="s">
        <v>1868</v>
      </c>
      <c r="B968" s="2">
        <v>43491.0</v>
      </c>
      <c r="C968" s="1" t="s">
        <v>1869</v>
      </c>
      <c r="D968" s="3" t="s">
        <v>189</v>
      </c>
      <c r="E968" s="1">
        <v>6.0</v>
      </c>
      <c r="F968" s="1" t="str">
        <f t="array" ref="F968">XLOOKUP(C968,customers!A967:A1967, customers!B967:B1967,0)</f>
        <v>Bearnard Wardell</v>
      </c>
      <c r="G968" s="1" t="str">
        <f t="array" ref="G968">IF(XLOOKUP(C969,customers!$A$1:$A$1001,customers!$C$1:$C$1001,0)=0,"",XLOOKUP(C969,customers!$A$1:$A$1001,customers!$C$1:$C$1001,0))</f>
        <v>zwalisiakqv@ucsd.edu</v>
      </c>
      <c r="H968" s="1" t="str">
        <f t="array" ref="H968">XLOOKUP(C968,customers!$A$1:$A$1001,customers!$F$1:$F$1001,0)</f>
        <v>Brooklyn</v>
      </c>
    </row>
    <row r="969" ht="15.75" customHeight="1">
      <c r="A969" s="1" t="s">
        <v>1870</v>
      </c>
      <c r="B969" s="2">
        <v>44246.0</v>
      </c>
      <c r="C969" s="1" t="s">
        <v>1871</v>
      </c>
      <c r="D969" s="3" t="s">
        <v>114</v>
      </c>
      <c r="E969" s="1">
        <v>1.0</v>
      </c>
      <c r="F969" s="1" t="str">
        <f t="array" ref="F969">XLOOKUP(C969,customers!A968:A1968, customers!B968:B1968,0)</f>
        <v>Zeke Walisiak</v>
      </c>
      <c r="G969" s="1" t="str">
        <f t="array" ref="G969">IF(XLOOKUP(C970,customers!$A$1:$A$1001,customers!$C$1:$C$1001,0)=0,"",XLOOKUP(C970,customers!$A$1:$A$1001,customers!$C$1:$C$1001,0))</f>
        <v>wleopoldqw@blogspot.com</v>
      </c>
      <c r="H969" s="1" t="str">
        <f t="array" ref="H969">XLOOKUP(C969,customers!$A$1:$A$1001,customers!$F$1:$F$1001,0)</f>
        <v>Booterstown</v>
      </c>
    </row>
    <row r="970" ht="15.75" customHeight="1">
      <c r="A970" s="1" t="s">
        <v>1872</v>
      </c>
      <c r="B970" s="2">
        <v>44642.0</v>
      </c>
      <c r="C970" s="1" t="s">
        <v>1873</v>
      </c>
      <c r="D970" s="3" t="s">
        <v>175</v>
      </c>
      <c r="E970" s="1">
        <v>2.0</v>
      </c>
      <c r="F970" s="1" t="str">
        <f t="array" ref="F970">XLOOKUP(C970,customers!A969:A1969, customers!B969:B1969,0)</f>
        <v>Wiley Leopold</v>
      </c>
      <c r="G970" s="1" t="str">
        <f t="array" ref="G970">IF(XLOOKUP(C971,customers!$A$1:$A$1001,customers!$C$1:$C$1001,0)=0,"",XLOOKUP(C971,customers!$A$1:$A$1001,customers!$C$1:$C$1001,0))</f>
        <v>cshaldersqx@cisco.com</v>
      </c>
      <c r="H970" s="1" t="str">
        <f t="array" ref="H970">XLOOKUP(C970,customers!$A$1:$A$1001,customers!$F$1:$F$1001,0)</f>
        <v>Gainesville</v>
      </c>
    </row>
    <row r="971" ht="15.75" customHeight="1">
      <c r="A971" s="1" t="s">
        <v>1874</v>
      </c>
      <c r="B971" s="2">
        <v>43649.0</v>
      </c>
      <c r="C971" s="1" t="s">
        <v>1875</v>
      </c>
      <c r="D971" s="3" t="s">
        <v>26</v>
      </c>
      <c r="E971" s="1">
        <v>1.0</v>
      </c>
      <c r="F971" s="1" t="str">
        <f t="array" ref="F971">XLOOKUP(C971,customers!A970:A1970, customers!B970:B1970,0)</f>
        <v>Chiarra Shalders</v>
      </c>
      <c r="G971" s="1" t="str">
        <f t="array" ref="G971">IF(XLOOKUP(C972,customers!$A$1:$A$1001,customers!$C$1:$C$1001,0)=0,"",XLOOKUP(C972,customers!$A$1:$A$1001,customers!$C$1:$C$1001,0))</f>
        <v/>
      </c>
      <c r="H971" s="1" t="str">
        <f t="array" ref="H971">XLOOKUP(C971,customers!$A$1:$A$1001,customers!$F$1:$F$1001,0)</f>
        <v>Clearwater</v>
      </c>
    </row>
    <row r="972" ht="15.75" customHeight="1">
      <c r="A972" s="1" t="s">
        <v>1876</v>
      </c>
      <c r="B972" s="2">
        <v>43729.0</v>
      </c>
      <c r="C972" s="1" t="s">
        <v>1877</v>
      </c>
      <c r="D972" s="3" t="s">
        <v>16</v>
      </c>
      <c r="E972" s="1">
        <v>1.0</v>
      </c>
      <c r="F972" s="1" t="str">
        <f t="array" ref="F972">XLOOKUP(C972,customers!A971:A1971, customers!B971:B1971,0)</f>
        <v>Sharl Southerill</v>
      </c>
      <c r="G972" s="1" t="str">
        <f t="array" ref="G972">IF(XLOOKUP(C973,customers!$A$1:$A$1001,customers!$C$1:$C$1001,0)=0,"",XLOOKUP(C973,customers!$A$1:$A$1001,customers!$C$1:$C$1001,0))</f>
        <v>nfurberqz@jugem.jp</v>
      </c>
      <c r="H972" s="1" t="str">
        <f t="array" ref="H972">XLOOKUP(C972,customers!$A$1:$A$1001,customers!$F$1:$F$1001,0)</f>
        <v>Amarillo</v>
      </c>
    </row>
    <row r="973" ht="15.75" customHeight="1">
      <c r="A973" s="1" t="s">
        <v>1878</v>
      </c>
      <c r="B973" s="2">
        <v>43703.0</v>
      </c>
      <c r="C973" s="1" t="s">
        <v>1879</v>
      </c>
      <c r="D973" s="3" t="s">
        <v>217</v>
      </c>
      <c r="E973" s="1">
        <v>5.0</v>
      </c>
      <c r="F973" s="1" t="str">
        <f t="array" ref="F973">XLOOKUP(C973,customers!A972:A1972, customers!B972:B1972,0)</f>
        <v>Noni Furber</v>
      </c>
      <c r="G973" s="1" t="str">
        <f t="array" ref="G973">IF(XLOOKUP(C974,customers!$A$1:$A$1001,customers!$C$1:$C$1001,0)=0,"",XLOOKUP(C974,customers!$A$1:$A$1001,customers!$C$1:$C$1001,0))</f>
        <v/>
      </c>
      <c r="H973" s="1" t="str">
        <f t="array" ref="H973">XLOOKUP(C973,customers!$A$1:$A$1001,customers!$F$1:$F$1001,0)</f>
        <v>Fort Worth</v>
      </c>
    </row>
    <row r="974" ht="15.75" customHeight="1">
      <c r="A974" s="1" t="s">
        <v>1880</v>
      </c>
      <c r="B974" s="2">
        <v>44411.0</v>
      </c>
      <c r="C974" s="1" t="s">
        <v>1881</v>
      </c>
      <c r="D974" s="3" t="s">
        <v>217</v>
      </c>
      <c r="E974" s="1">
        <v>3.0</v>
      </c>
      <c r="F974" s="1" t="str">
        <f t="array" ref="F974">XLOOKUP(C974,customers!A973:A1973, customers!B973:B1973,0)</f>
        <v>Dinah Crutcher</v>
      </c>
      <c r="G974" s="1" t="str">
        <f t="array" ref="G974">IF(XLOOKUP(C975,customers!$A$1:$A$1001,customers!$C$1:$C$1001,0)=0,"",XLOOKUP(C975,customers!$A$1:$A$1001,customers!$C$1:$C$1001,0))</f>
        <v>ckeaver1@ucoz.com</v>
      </c>
      <c r="H974" s="1" t="str">
        <f t="array" ref="H974">XLOOKUP(C974,customers!$A$1:$A$1001,customers!$F$1:$F$1001,0)</f>
        <v>Lusk</v>
      </c>
    </row>
    <row r="975" ht="15.75" customHeight="1">
      <c r="A975" s="1" t="s">
        <v>1882</v>
      </c>
      <c r="B975" s="2">
        <v>44493.0</v>
      </c>
      <c r="C975" s="1" t="s">
        <v>1883</v>
      </c>
      <c r="D975" s="3" t="s">
        <v>109</v>
      </c>
      <c r="E975" s="1">
        <v>6.0</v>
      </c>
      <c r="F975" s="1" t="str">
        <f t="array" ref="F975">XLOOKUP(C975,customers!A974:A1974, customers!B974:B1974,0)</f>
        <v>Charlean Keave</v>
      </c>
      <c r="G975" s="1" t="str">
        <f t="array" ref="G975">IF(XLOOKUP(C976,customers!$A$1:$A$1001,customers!$C$1:$C$1001,0)=0,"",XLOOKUP(C976,customers!$A$1:$A$1001,customers!$C$1:$C$1001,0))</f>
        <v>sroseboroughr2@virginia.edu</v>
      </c>
      <c r="H975" s="1" t="str">
        <f t="array" ref="H975">XLOOKUP(C975,customers!$A$1:$A$1001,customers!$F$1:$F$1001,0)</f>
        <v>Pensacola</v>
      </c>
    </row>
    <row r="976" ht="15.75" customHeight="1">
      <c r="A976" s="1" t="s">
        <v>1884</v>
      </c>
      <c r="B976" s="2">
        <v>43556.0</v>
      </c>
      <c r="C976" s="1" t="s">
        <v>1885</v>
      </c>
      <c r="D976" s="3" t="s">
        <v>159</v>
      </c>
      <c r="E976" s="1">
        <v>1.0</v>
      </c>
      <c r="F976" s="1" t="str">
        <f t="array" ref="F976">XLOOKUP(C976,customers!A975:A1975, customers!B975:B1975,0)</f>
        <v>Sada Roseborough</v>
      </c>
      <c r="G976" s="1" t="str">
        <f t="array" ref="G976">IF(XLOOKUP(C977,customers!$A$1:$A$1001,customers!$C$1:$C$1001,0)=0,"",XLOOKUP(C977,customers!$A$1:$A$1001,customers!$C$1:$C$1001,0))</f>
        <v>ckingwellr3@squarespace.com</v>
      </c>
      <c r="H976" s="1" t="str">
        <f t="array" ref="H976">XLOOKUP(C976,customers!$A$1:$A$1001,customers!$F$1:$F$1001,0)</f>
        <v>Tacoma</v>
      </c>
    </row>
    <row r="977" ht="15.75" customHeight="1">
      <c r="A977" s="1" t="s">
        <v>1886</v>
      </c>
      <c r="B977" s="2">
        <v>44538.0</v>
      </c>
      <c r="C977" s="1" t="s">
        <v>1887</v>
      </c>
      <c r="D977" s="3" t="s">
        <v>67</v>
      </c>
      <c r="E977" s="1">
        <v>3.0</v>
      </c>
      <c r="F977" s="1" t="str">
        <f t="array" ref="F977">XLOOKUP(C977,customers!A976:A1976, customers!B976:B1976,0)</f>
        <v>Clayton Kingwell</v>
      </c>
      <c r="G977" s="1" t="str">
        <f t="array" ref="G977">IF(XLOOKUP(C978,customers!$A$1:$A$1001,customers!$C$1:$C$1001,0)=0,"",XLOOKUP(C978,customers!$A$1:$A$1001,customers!$C$1:$C$1001,0))</f>
        <v>kcantor4@gmpg.org</v>
      </c>
      <c r="H977" s="1" t="str">
        <f t="array" ref="H977">XLOOKUP(C977,customers!$A$1:$A$1001,customers!$F$1:$F$1001,0)</f>
        <v>Rathnew</v>
      </c>
    </row>
    <row r="978" ht="15.75" customHeight="1">
      <c r="A978" s="1" t="s">
        <v>1888</v>
      </c>
      <c r="B978" s="2">
        <v>43643.0</v>
      </c>
      <c r="C978" s="1" t="s">
        <v>1889</v>
      </c>
      <c r="D978" s="3" t="s">
        <v>23</v>
      </c>
      <c r="E978" s="1">
        <v>5.0</v>
      </c>
      <c r="F978" s="1" t="str">
        <f t="array" ref="F978">XLOOKUP(C978,customers!A977:A1977, customers!B977:B1977,0)</f>
        <v>Kacy Canto</v>
      </c>
      <c r="G978" s="1" t="str">
        <f t="array" ref="G978">IF(XLOOKUP(C979,customers!$A$1:$A$1001,customers!$C$1:$C$1001,0)=0,"",XLOOKUP(C979,customers!$A$1:$A$1001,customers!$C$1:$C$1001,0))</f>
        <v>mblakemorer5@nsw.gov.au</v>
      </c>
      <c r="H978" s="1" t="str">
        <f t="array" ref="H978">XLOOKUP(C978,customers!$A$1:$A$1001,customers!$F$1:$F$1001,0)</f>
        <v>Fort Wayne</v>
      </c>
    </row>
    <row r="979" ht="15.75" customHeight="1">
      <c r="A979" s="1" t="s">
        <v>1890</v>
      </c>
      <c r="B979" s="2">
        <v>44026.0</v>
      </c>
      <c r="C979" s="1" t="s">
        <v>1891</v>
      </c>
      <c r="D979" s="3" t="s">
        <v>202</v>
      </c>
      <c r="E979" s="1">
        <v>5.0</v>
      </c>
      <c r="F979" s="1" t="str">
        <f t="array" ref="F979">XLOOKUP(C979,customers!A978:A1978, customers!B978:B1978,0)</f>
        <v>Mab Blakemore</v>
      </c>
      <c r="G979" s="1" t="str">
        <f t="array" ref="G979">IF(XLOOKUP(C980,customers!$A$1:$A$1001,customers!$C$1:$C$1001,0)=0,"",XLOOKUP(C980,customers!$A$1:$A$1001,customers!$C$1:$C$1001,0))</f>
        <v>ckeaver1@ucoz.com</v>
      </c>
      <c r="H979" s="1" t="str">
        <f t="array" ref="H979">XLOOKUP(C979,customers!$A$1:$A$1001,customers!$F$1:$F$1001,0)</f>
        <v>Amarillo</v>
      </c>
    </row>
    <row r="980" ht="15.75" customHeight="1">
      <c r="A980" s="1" t="s">
        <v>1892</v>
      </c>
      <c r="B980" s="2">
        <v>43913.0</v>
      </c>
      <c r="C980" s="1" t="s">
        <v>1883</v>
      </c>
      <c r="D980" s="3" t="s">
        <v>205</v>
      </c>
      <c r="E980" s="1">
        <v>3.0</v>
      </c>
      <c r="F980" s="1">
        <f t="array" ref="F980">XLOOKUP(C980,customers!A979:A1979, customers!B979:B1979,0)</f>
        <v>0</v>
      </c>
      <c r="G980" s="1" t="str">
        <f t="array" ref="G980">IF(XLOOKUP(C981,customers!$A$1:$A$1001,customers!$C$1:$C$1001,0)=0,"",XLOOKUP(C981,customers!$A$1:$A$1001,customers!$C$1:$C$1001,0))</f>
        <v/>
      </c>
      <c r="H980" s="1" t="str">
        <f t="array" ref="H980">XLOOKUP(C980,customers!$A$1:$A$1001,customers!$F$1:$F$1001,0)</f>
        <v>Pensacola</v>
      </c>
    </row>
    <row r="981" ht="15.75" customHeight="1">
      <c r="A981" s="1" t="s">
        <v>1893</v>
      </c>
      <c r="B981" s="2">
        <v>43856.0</v>
      </c>
      <c r="C981" s="1" t="s">
        <v>1894</v>
      </c>
      <c r="D981" s="3" t="s">
        <v>159</v>
      </c>
      <c r="E981" s="1">
        <v>2.0</v>
      </c>
      <c r="F981" s="1" t="str">
        <f t="array" ref="F981">XLOOKUP(C981,customers!A980:A1980, customers!B980:B1980,0)</f>
        <v>Javier Causnett</v>
      </c>
      <c r="G981" s="1" t="str">
        <f t="array" ref="G981">IF(XLOOKUP(C982,customers!$A$1:$A$1001,customers!$C$1:$C$1001,0)=0,"",XLOOKUP(C982,customers!$A$1:$A$1001,customers!$C$1:$C$1001,0))</f>
        <v/>
      </c>
      <c r="H981" s="1" t="str">
        <f t="array" ref="H981">XLOOKUP(C981,customers!$A$1:$A$1001,customers!$F$1:$F$1001,0)</f>
        <v>Silver Spring</v>
      </c>
    </row>
    <row r="982" ht="15.75" customHeight="1">
      <c r="A982" s="1" t="s">
        <v>1895</v>
      </c>
      <c r="B982" s="2">
        <v>43982.0</v>
      </c>
      <c r="C982" s="1" t="s">
        <v>1896</v>
      </c>
      <c r="D982" s="3" t="s">
        <v>543</v>
      </c>
      <c r="E982" s="1">
        <v>6.0</v>
      </c>
      <c r="F982" s="1" t="str">
        <f t="array" ref="F982">XLOOKUP(C982,customers!A981:A1981, customers!B981:B1981,0)</f>
        <v>Demetris Micheli</v>
      </c>
      <c r="G982" s="1" t="str">
        <f t="array" ref="G982">IF(XLOOKUP(C983,customers!$A$1:$A$1001,customers!$C$1:$C$1001,0)=0,"",XLOOKUP(C983,customers!$A$1:$A$1001,customers!$C$1:$C$1001,0))</f>
        <v>cbernardotr9@wix.com</v>
      </c>
      <c r="H982" s="1" t="str">
        <f t="array" ref="H982">XLOOKUP(C982,customers!$A$1:$A$1001,customers!$F$1:$F$1001,0)</f>
        <v>Madison</v>
      </c>
    </row>
    <row r="983" ht="15.75" customHeight="1">
      <c r="A983" s="1" t="s">
        <v>1897</v>
      </c>
      <c r="B983" s="2">
        <v>44397.0</v>
      </c>
      <c r="C983" s="1" t="s">
        <v>1898</v>
      </c>
      <c r="D983" s="3" t="s">
        <v>64</v>
      </c>
      <c r="E983" s="1">
        <v>6.0</v>
      </c>
      <c r="F983" s="1" t="str">
        <f t="array" ref="F983">XLOOKUP(C983,customers!A982:A1982, customers!B982:B1982,0)</f>
        <v>Chloette Bernardot</v>
      </c>
      <c r="G983" s="1" t="str">
        <f t="array" ref="G983">IF(XLOOKUP(C984,customers!$A$1:$A$1001,customers!$C$1:$C$1001,0)=0,"",XLOOKUP(C984,customers!$A$1:$A$1001,customers!$C$1:$C$1001,0))</f>
        <v>kkemeryra@t.co</v>
      </c>
      <c r="H983" s="1" t="str">
        <f t="array" ref="H983">XLOOKUP(C983,customers!$A$1:$A$1001,customers!$F$1:$F$1001,0)</f>
        <v>Conroe</v>
      </c>
    </row>
    <row r="984" ht="15.75" customHeight="1">
      <c r="A984" s="1" t="s">
        <v>1899</v>
      </c>
      <c r="B984" s="2">
        <v>44785.0</v>
      </c>
      <c r="C984" s="1" t="s">
        <v>1900</v>
      </c>
      <c r="D984" s="3" t="s">
        <v>202</v>
      </c>
      <c r="E984" s="1">
        <v>2.0</v>
      </c>
      <c r="F984" s="1" t="str">
        <f t="array" ref="F984">XLOOKUP(C984,customers!A983:A1983, customers!B983:B1983,0)</f>
        <v>Kim Kemery</v>
      </c>
      <c r="G984" s="1" t="str">
        <f t="array" ref="G984">IF(XLOOKUP(C985,customers!$A$1:$A$1001,customers!$C$1:$C$1001,0)=0,"",XLOOKUP(C985,customers!$A$1:$A$1001,customers!$C$1:$C$1001,0))</f>
        <v>fparlotrb@forbes.com</v>
      </c>
      <c r="H984" s="1" t="str">
        <f t="array" ref="H984">XLOOKUP(C984,customers!$A$1:$A$1001,customers!$F$1:$F$1001,0)</f>
        <v>Denton</v>
      </c>
    </row>
    <row r="985" ht="15.75" customHeight="1">
      <c r="A985" s="1" t="s">
        <v>1901</v>
      </c>
      <c r="B985" s="2">
        <v>43831.0</v>
      </c>
      <c r="C985" s="1" t="s">
        <v>1902</v>
      </c>
      <c r="D985" s="3" t="s">
        <v>57</v>
      </c>
      <c r="E985" s="1">
        <v>2.0</v>
      </c>
      <c r="F985" s="1" t="str">
        <f t="array" ref="F985">XLOOKUP(C985,customers!A984:A1984, customers!B984:B1984,0)</f>
        <v>Fanchette Parlot</v>
      </c>
      <c r="G985" s="1" t="str">
        <f t="array" ref="G985">IF(XLOOKUP(C986,customers!$A$1:$A$1001,customers!$C$1:$C$1001,0)=0,"",XLOOKUP(C986,customers!$A$1:$A$1001,customers!$C$1:$C$1001,0))</f>
        <v>rcheakrc@tripadvisor.com</v>
      </c>
      <c r="H985" s="1" t="str">
        <f t="array" ref="H985">XLOOKUP(C985,customers!$A$1:$A$1001,customers!$F$1:$F$1001,0)</f>
        <v>Columbus</v>
      </c>
    </row>
    <row r="986" ht="15.75" customHeight="1">
      <c r="A986" s="1" t="s">
        <v>1903</v>
      </c>
      <c r="B986" s="2">
        <v>44214.0</v>
      </c>
      <c r="C986" s="1" t="s">
        <v>1904</v>
      </c>
      <c r="D986" s="3" t="s">
        <v>125</v>
      </c>
      <c r="E986" s="1">
        <v>1.0</v>
      </c>
      <c r="F986" s="1" t="str">
        <f t="array" ref="F986">XLOOKUP(C986,customers!A985:A1985, customers!B985:B1985,0)</f>
        <v>Ramon Cheak</v>
      </c>
      <c r="G986" s="1" t="str">
        <f t="array" ref="G986">IF(XLOOKUP(C987,customers!$A$1:$A$1001,customers!$C$1:$C$1001,0)=0,"",XLOOKUP(C987,customers!$A$1:$A$1001,customers!$C$1:$C$1001,0))</f>
        <v>kogeneayrd@utexas.edu</v>
      </c>
      <c r="H986" s="1" t="str">
        <f t="array" ref="H986">XLOOKUP(C986,customers!$A$1:$A$1001,customers!$F$1:$F$1001,0)</f>
        <v>Bundoran</v>
      </c>
    </row>
    <row r="987" ht="15.75" customHeight="1">
      <c r="A987" s="1" t="s">
        <v>1905</v>
      </c>
      <c r="B987" s="2">
        <v>44561.0</v>
      </c>
      <c r="C987" s="1" t="s">
        <v>1906</v>
      </c>
      <c r="D987" s="3" t="s">
        <v>202</v>
      </c>
      <c r="E987" s="1">
        <v>4.0</v>
      </c>
      <c r="F987" s="1" t="str">
        <f t="array" ref="F987">XLOOKUP(C987,customers!A986:A1986, customers!B986:B1986,0)</f>
        <v>Koressa O'Geneay</v>
      </c>
      <c r="G987" s="1" t="str">
        <f t="array" ref="G987">IF(XLOOKUP(C988,customers!$A$1:$A$1001,customers!$C$1:$C$1001,0)=0,"",XLOOKUP(C988,customers!$A$1:$A$1001,customers!$C$1:$C$1001,0))</f>
        <v>cayrere@symantec.com</v>
      </c>
      <c r="H987" s="1" t="str">
        <f t="array" ref="H987">XLOOKUP(C987,customers!$A$1:$A$1001,customers!$F$1:$F$1001,0)</f>
        <v>Aurora</v>
      </c>
    </row>
    <row r="988" ht="15.75" customHeight="1">
      <c r="A988" s="1" t="s">
        <v>1907</v>
      </c>
      <c r="B988" s="2">
        <v>43955.0</v>
      </c>
      <c r="C988" s="1" t="s">
        <v>1908</v>
      </c>
      <c r="D988" s="3" t="s">
        <v>210</v>
      </c>
      <c r="E988" s="1">
        <v>1.0</v>
      </c>
      <c r="F988" s="1" t="str">
        <f t="array" ref="F988">XLOOKUP(C988,customers!A987:A1987, customers!B987:B1987,0)</f>
        <v>Claudell Ayre</v>
      </c>
      <c r="G988" s="1" t="str">
        <f t="array" ref="G988">IF(XLOOKUP(C989,customers!$A$1:$A$1001,customers!$C$1:$C$1001,0)=0,"",XLOOKUP(C989,customers!$A$1:$A$1001,customers!$C$1:$C$1001,0))</f>
        <v>lkynetonrf@macromedia.com</v>
      </c>
      <c r="H988" s="1" t="str">
        <f t="array" ref="H988">XLOOKUP(C988,customers!$A$1:$A$1001,customers!$F$1:$F$1001,0)</f>
        <v>Daytona Beach</v>
      </c>
    </row>
    <row r="989" ht="15.75" customHeight="1">
      <c r="A989" s="1" t="s">
        <v>1909</v>
      </c>
      <c r="B989" s="2">
        <v>44247.0</v>
      </c>
      <c r="C989" s="1" t="s">
        <v>1910</v>
      </c>
      <c r="D989" s="3" t="s">
        <v>85</v>
      </c>
      <c r="E989" s="1">
        <v>5.0</v>
      </c>
      <c r="F989" s="1" t="str">
        <f t="array" ref="F989">XLOOKUP(C989,customers!A988:A1988, customers!B988:B1988,0)</f>
        <v>Lorianne Kyneton</v>
      </c>
      <c r="G989" s="1" t="str">
        <f t="array" ref="G989">IF(XLOOKUP(C990,customers!$A$1:$A$1001,customers!$C$1:$C$1001,0)=0,"",XLOOKUP(C990,customers!$A$1:$A$1001,customers!$C$1:$C$1001,0))</f>
        <v/>
      </c>
      <c r="H989" s="1" t="str">
        <f t="array" ref="H989">XLOOKUP(C989,customers!$A$1:$A$1001,customers!$F$1:$F$1001,0)</f>
        <v>Seaton</v>
      </c>
    </row>
    <row r="990" ht="15.75" customHeight="1">
      <c r="A990" s="1" t="s">
        <v>1911</v>
      </c>
      <c r="B990" s="2">
        <v>43897.0</v>
      </c>
      <c r="C990" s="1" t="s">
        <v>1912</v>
      </c>
      <c r="D990" s="3" t="s">
        <v>15</v>
      </c>
      <c r="E990" s="1">
        <v>3.0</v>
      </c>
      <c r="F990" s="1" t="str">
        <f t="array" ref="F990">XLOOKUP(C990,customers!A989:A1989, customers!B989:B1989,0)</f>
        <v>Adele McFayden</v>
      </c>
      <c r="G990" s="1" t="str">
        <f t="array" ref="G990">IF(XLOOKUP(C991,customers!$A$1:$A$1001,customers!$C$1:$C$1001,0)=0,"",XLOOKUP(C991,customers!$A$1:$A$1001,customers!$C$1:$C$1001,0))</f>
        <v/>
      </c>
      <c r="H990" s="1" t="str">
        <f t="array" ref="H990">XLOOKUP(C990,customers!$A$1:$A$1001,customers!$F$1:$F$1001,0)</f>
        <v>Wirral</v>
      </c>
    </row>
    <row r="991" ht="15.75" customHeight="1">
      <c r="A991" s="1" t="s">
        <v>1913</v>
      </c>
      <c r="B991" s="2">
        <v>43560.0</v>
      </c>
      <c r="C991" s="1" t="s">
        <v>1914</v>
      </c>
      <c r="D991" s="3" t="s">
        <v>184</v>
      </c>
      <c r="E991" s="1">
        <v>6.0</v>
      </c>
      <c r="F991" s="1" t="str">
        <f t="array" ref="F991">XLOOKUP(C991,customers!A990:A1990, customers!B990:B1990,0)</f>
        <v>Herta Layne</v>
      </c>
      <c r="G991" s="1" t="str">
        <f t="array" ref="G991">IF(XLOOKUP(C992,customers!$A$1:$A$1001,customers!$C$1:$C$1001,0)=0,"",XLOOKUP(C992,customers!$A$1:$A$1001,customers!$C$1:$C$1001,0))</f>
        <v/>
      </c>
      <c r="H991" s="1" t="str">
        <f t="array" ref="H991">XLOOKUP(C991,customers!$A$1:$A$1001,customers!$F$1:$F$1001,0)</f>
        <v>Saint Louis</v>
      </c>
    </row>
    <row r="992" ht="15.75" customHeight="1">
      <c r="A992" s="1" t="s">
        <v>1915</v>
      </c>
      <c r="B992" s="2">
        <v>44718.0</v>
      </c>
      <c r="C992" s="1" t="s">
        <v>1916</v>
      </c>
      <c r="D992" s="3" t="s">
        <v>64</v>
      </c>
      <c r="E992" s="1">
        <v>5.0</v>
      </c>
      <c r="F992" s="1" t="str">
        <f t="array" ref="F992">XLOOKUP(C992,customers!A991:A1991, customers!B991:B1991,0)</f>
        <v>Marguerite Graves</v>
      </c>
      <c r="G992" s="1" t="str">
        <f t="array" ref="G992">IF(XLOOKUP(C993,customers!$A$1:$A$1001,customers!$C$1:$C$1001,0)=0,"",XLOOKUP(C993,customers!$A$1:$A$1001,customers!$C$1:$C$1001,0))</f>
        <v/>
      </c>
      <c r="H992" s="1" t="str">
        <f t="array" ref="H992">XLOOKUP(C992,customers!$A$1:$A$1001,customers!$F$1:$F$1001,0)</f>
        <v>Fort Smith</v>
      </c>
    </row>
    <row r="993" ht="15.75" customHeight="1">
      <c r="A993" s="1" t="s">
        <v>1915</v>
      </c>
      <c r="B993" s="2">
        <v>44718.0</v>
      </c>
      <c r="C993" s="1" t="s">
        <v>1916</v>
      </c>
      <c r="D993" s="3" t="s">
        <v>136</v>
      </c>
      <c r="E993" s="1">
        <v>2.0</v>
      </c>
      <c r="F993" s="1" t="str">
        <f t="array" ref="F993">XLOOKUP(C993,customers!A992:A1992, customers!B992:B1992,0)</f>
        <v>Marguerite Graves</v>
      </c>
      <c r="G993" s="1" t="str">
        <f t="array" ref="G993">IF(XLOOKUP(C994,customers!$A$1:$A$1001,customers!$C$1:$C$1001,0)=0,"",XLOOKUP(C994,customers!$A$1:$A$1001,customers!$C$1:$C$1001,0))</f>
        <v/>
      </c>
      <c r="H993" s="1" t="str">
        <f t="array" ref="H993">XLOOKUP(C993,customers!$A$1:$A$1001,customers!$F$1:$F$1001,0)</f>
        <v>Fort Smith</v>
      </c>
    </row>
    <row r="994" ht="15.75" customHeight="1">
      <c r="A994" s="1" t="s">
        <v>1917</v>
      </c>
      <c r="B994" s="2">
        <v>44276.0</v>
      </c>
      <c r="C994" s="1" t="s">
        <v>1918</v>
      </c>
      <c r="D994" s="3" t="s">
        <v>117</v>
      </c>
      <c r="E994" s="1">
        <v>3.0</v>
      </c>
      <c r="F994" s="1" t="str">
        <f t="array" ref="F994">XLOOKUP(C994,customers!A993:A1993, customers!B993:B1993,0)</f>
        <v>Desdemona Eye</v>
      </c>
      <c r="G994" s="1" t="str">
        <f t="array" ref="G994">IF(XLOOKUP(C995,customers!$A$1:$A$1001,customers!$C$1:$C$1001,0)=0,"",XLOOKUP(C995,customers!$A$1:$A$1001,customers!$C$1:$C$1001,0))</f>
        <v/>
      </c>
      <c r="H994" s="1" t="str">
        <f t="array" ref="H994">XLOOKUP(C994,customers!$A$1:$A$1001,customers!$F$1:$F$1001,0)</f>
        <v>Bagenalstown</v>
      </c>
    </row>
    <row r="995" ht="15.75" customHeight="1">
      <c r="A995" s="1" t="s">
        <v>1919</v>
      </c>
      <c r="B995" s="2">
        <v>44549.0</v>
      </c>
      <c r="C995" s="1" t="s">
        <v>1920</v>
      </c>
      <c r="D995" s="3" t="s">
        <v>19</v>
      </c>
      <c r="E995" s="1">
        <v>6.0</v>
      </c>
      <c r="F995" s="1" t="str">
        <f t="array" ref="F995">XLOOKUP(C995,customers!A994:A1994, customers!B994:B1994,0)</f>
        <v>Margarette Sterland</v>
      </c>
      <c r="G995" s="1" t="str">
        <f t="array" ref="G995">IF(XLOOKUP(C996,customers!$A$1:$A$1001,customers!$C$1:$C$1001,0)=0,"",XLOOKUP(C996,customers!$A$1:$A$1001,customers!$C$1:$C$1001,0))</f>
        <v/>
      </c>
      <c r="H995" s="1" t="str">
        <f t="array" ref="H995">XLOOKUP(C995,customers!$A$1:$A$1001,customers!$F$1:$F$1001,0)</f>
        <v>Philadelphia</v>
      </c>
    </row>
    <row r="996" ht="15.75" customHeight="1">
      <c r="A996" s="1" t="s">
        <v>1921</v>
      </c>
      <c r="B996" s="2">
        <v>44244.0</v>
      </c>
      <c r="C996" s="1" t="s">
        <v>1922</v>
      </c>
      <c r="D996" s="3" t="s">
        <v>67</v>
      </c>
      <c r="E996" s="1">
        <v>3.0</v>
      </c>
      <c r="F996" s="1" t="str">
        <f t="array" ref="F996">XLOOKUP(C996,customers!A995:A1995, customers!B995:B1995,0)</f>
        <v>Catharine Scoines</v>
      </c>
      <c r="G996" s="1" t="str">
        <f t="array" ref="G996">IF(XLOOKUP(C997,customers!$A$1:$A$1001,customers!$C$1:$C$1001,0)=0,"",XLOOKUP(C997,customers!$A$1:$A$1001,customers!$C$1:$C$1001,0))</f>
        <v>jtewelsonrn@samsung.com</v>
      </c>
      <c r="H996" s="1" t="str">
        <f t="array" ref="H996">XLOOKUP(C996,customers!$A$1:$A$1001,customers!$F$1:$F$1001,0)</f>
        <v>Watergrasshill</v>
      </c>
    </row>
    <row r="997" ht="15.75" customHeight="1">
      <c r="A997" s="1" t="s">
        <v>1923</v>
      </c>
      <c r="B997" s="2">
        <v>43836.0</v>
      </c>
      <c r="C997" s="1" t="s">
        <v>1924</v>
      </c>
      <c r="D997" s="3" t="s">
        <v>23</v>
      </c>
      <c r="E997" s="1">
        <v>1.0</v>
      </c>
      <c r="F997" s="1" t="str">
        <f t="array" ref="F997">XLOOKUP(C997,customers!A996:A1996, customers!B996:B1996,0)</f>
        <v>Jennica Tewelson</v>
      </c>
      <c r="G997" s="1" t="str">
        <f t="array" ref="G997">IF(XLOOKUP(C998,customers!$A$1:$A$1001,customers!$C$1:$C$1001,0)=0,"",XLOOKUP(C998,customers!$A$1:$A$1001,customers!$C$1:$C$1001,0))</f>
        <v/>
      </c>
      <c r="H997" s="1" t="str">
        <f t="array" ref="H997">XLOOKUP(C997,customers!$A$1:$A$1001,customers!$F$1:$F$1001,0)</f>
        <v>Dallas</v>
      </c>
    </row>
    <row r="998" ht="15.75" customHeight="1">
      <c r="A998" s="1" t="s">
        <v>1925</v>
      </c>
      <c r="B998" s="2">
        <v>44685.0</v>
      </c>
      <c r="C998" s="1" t="s">
        <v>1916</v>
      </c>
      <c r="D998" s="3" t="s">
        <v>35</v>
      </c>
      <c r="E998" s="1">
        <v>5.0</v>
      </c>
      <c r="F998" s="1" t="str">
        <f t="array" ref="F998">XLOOKUP(C998,customers!A997:A1997, customers!B997:B1997,0)</f>
        <v>Marguerite Graves</v>
      </c>
      <c r="G998" s="1" t="str">
        <f t="array" ref="G998">IF(XLOOKUP(C999,customers!$A$1:$A$1001,customers!$C$1:$C$1001,0)=0,"",XLOOKUP(C999,customers!$A$1:$A$1001,customers!$C$1:$C$1001,0))</f>
        <v/>
      </c>
      <c r="H998" s="1" t="str">
        <f t="array" ref="H998">XLOOKUP(C998,customers!$A$1:$A$1001,customers!$F$1:$F$1001,0)</f>
        <v>Fort Smith</v>
      </c>
    </row>
    <row r="999" ht="15.75" customHeight="1">
      <c r="A999" s="1" t="s">
        <v>1926</v>
      </c>
      <c r="B999" s="2">
        <v>43749.0</v>
      </c>
      <c r="C999" s="1" t="s">
        <v>1916</v>
      </c>
      <c r="D999" s="3" t="s">
        <v>80</v>
      </c>
      <c r="E999" s="1">
        <v>4.0</v>
      </c>
      <c r="F999" s="1" t="str">
        <f t="array" ref="F999">XLOOKUP(C999,customers!A998:A1998, customers!B998:B1998,0)</f>
        <v>Marguerite Graves</v>
      </c>
      <c r="G999" s="1" t="str">
        <f t="array" ref="G999">IF(XLOOKUP(C1000,customers!$A$1:$A$1001,customers!$C$1:$C$1001,0)=0,"",XLOOKUP(C1000,customers!$A$1:$A$1001,customers!$C$1:$C$1001,0))</f>
        <v>njennyrq@bigcartel.com</v>
      </c>
      <c r="H999" s="1" t="str">
        <f t="array" ref="H999">XLOOKUP(C999,customers!$A$1:$A$1001,customers!$F$1:$F$1001,0)</f>
        <v>Fort Smith</v>
      </c>
    </row>
    <row r="1000" ht="15.75" customHeight="1">
      <c r="A1000" s="1" t="s">
        <v>1927</v>
      </c>
      <c r="B1000" s="2">
        <v>44411.0</v>
      </c>
      <c r="C1000" s="1" t="s">
        <v>1928</v>
      </c>
      <c r="D1000" s="3" t="s">
        <v>40</v>
      </c>
      <c r="E1000" s="1">
        <v>1.0</v>
      </c>
      <c r="F1000" s="1" t="str">
        <f t="array" ref="F1000">XLOOKUP(C1000,customers!A999:A1999, customers!B999:B1999,0)</f>
        <v>Nicolina Jenny</v>
      </c>
      <c r="G1000" s="1" t="str">
        <f t="array" ref="G1000">IF(XLOOKUP(C1001,customers!$A$1:$A$1001,customers!$C$1:$C$1001,0)=0,"",XLOOKUP(C1001,customers!$A$1:$A$1001,customers!$C$1:$C$1001,0))</f>
        <v/>
      </c>
      <c r="H1000" s="1" t="str">
        <f t="array" ref="H1000">XLOOKUP(C1000,customers!$A$1:$A$1001,customers!$F$1:$F$1001,0)</f>
        <v>Whittier</v>
      </c>
    </row>
    <row r="1001" ht="15.75" customHeight="1">
      <c r="A1001" s="1" t="s">
        <v>1929</v>
      </c>
      <c r="B1001" s="2">
        <v>44119.0</v>
      </c>
      <c r="C1001" s="1" t="s">
        <v>1930</v>
      </c>
      <c r="D1001" s="3" t="s">
        <v>77</v>
      </c>
      <c r="E1001" s="1">
        <v>3.0</v>
      </c>
      <c r="F1001" s="1" t="str">
        <f t="array" ref="F1001">XLOOKUP(C1001,customers!A1000:A2000, customers!B1000:B2000,0)</f>
        <v>Vidovic Antonelli</v>
      </c>
      <c r="G1001" s="1" t="str">
        <f t="array" ref="G1001">IF(XLOOKUP(C1002,customers!$A$1:$A$1001,customers!$C$1:$C$1001,0)=0,"",XLOOKUP(C1002,customers!$A$1:$A$1001,customers!$C$1:$C$1001,0))</f>
        <v/>
      </c>
      <c r="H1001" s="1" t="str">
        <f t="array" ref="H1001">XLOOKUP(C1001,customers!$A$1:$A$1001,customers!$F$1:$F$1001,0)</f>
        <v>London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3.71"/>
    <col customWidth="1" min="3" max="3" width="39.43"/>
    <col customWidth="1" min="4" max="4" width="18.29"/>
    <col customWidth="1" min="5" max="5" width="27.0"/>
    <col customWidth="1" min="6" max="6" width="20.71"/>
    <col customWidth="1" min="7" max="7" width="15.43"/>
    <col customWidth="1" min="8" max="8" width="8.71"/>
    <col customWidth="1" min="9" max="9" width="11.71"/>
    <col customWidth="1" min="10" max="26" width="8.71"/>
  </cols>
  <sheetData>
    <row r="1">
      <c r="A1" s="1" t="s">
        <v>2</v>
      </c>
      <c r="B1" s="1" t="s">
        <v>5</v>
      </c>
      <c r="C1" s="1" t="s">
        <v>6</v>
      </c>
      <c r="D1" s="1" t="s">
        <v>1931</v>
      </c>
      <c r="E1" s="1" t="s">
        <v>1932</v>
      </c>
      <c r="F1" s="1" t="s">
        <v>1933</v>
      </c>
      <c r="G1" s="1" t="s">
        <v>7</v>
      </c>
      <c r="H1" s="1" t="s">
        <v>1934</v>
      </c>
      <c r="I1" s="1" t="s">
        <v>1935</v>
      </c>
    </row>
    <row r="2">
      <c r="A2" s="1" t="s">
        <v>14</v>
      </c>
      <c r="B2" s="1" t="s">
        <v>1936</v>
      </c>
      <c r="C2" s="1" t="s">
        <v>1937</v>
      </c>
      <c r="D2" s="1" t="s">
        <v>1938</v>
      </c>
      <c r="E2" s="1" t="s">
        <v>1939</v>
      </c>
      <c r="F2" s="1" t="s">
        <v>1940</v>
      </c>
      <c r="G2" s="1" t="s">
        <v>1941</v>
      </c>
      <c r="H2" s="1">
        <v>7505.0</v>
      </c>
      <c r="I2" s="3" t="s">
        <v>1942</v>
      </c>
    </row>
    <row r="3">
      <c r="A3" s="1" t="s">
        <v>1943</v>
      </c>
      <c r="B3" s="1" t="s">
        <v>1944</v>
      </c>
      <c r="C3" s="1" t="s">
        <v>1945</v>
      </c>
      <c r="D3" s="1" t="s">
        <v>1946</v>
      </c>
      <c r="E3" s="1" t="s">
        <v>1947</v>
      </c>
      <c r="F3" s="1" t="s">
        <v>1948</v>
      </c>
      <c r="G3" s="1" t="s">
        <v>1949</v>
      </c>
      <c r="H3" s="1" t="s">
        <v>1950</v>
      </c>
      <c r="I3" s="3" t="s">
        <v>1951</v>
      </c>
    </row>
    <row r="4">
      <c r="A4" s="1" t="s">
        <v>18</v>
      </c>
      <c r="B4" s="1" t="s">
        <v>1952</v>
      </c>
      <c r="C4" s="1" t="s">
        <v>1953</v>
      </c>
      <c r="D4" s="1" t="s">
        <v>1954</v>
      </c>
      <c r="E4" s="1" t="s">
        <v>1955</v>
      </c>
      <c r="F4" s="1" t="s">
        <v>1956</v>
      </c>
      <c r="G4" s="1" t="s">
        <v>1941</v>
      </c>
      <c r="H4" s="1">
        <v>78205.0</v>
      </c>
      <c r="I4" s="3" t="s">
        <v>1942</v>
      </c>
    </row>
    <row r="5">
      <c r="A5" s="1" t="s">
        <v>1957</v>
      </c>
      <c r="B5" s="1" t="s">
        <v>1958</v>
      </c>
      <c r="C5" s="1" t="s">
        <v>1959</v>
      </c>
      <c r="D5" s="1" t="s">
        <v>1960</v>
      </c>
      <c r="E5" s="1" t="s">
        <v>1961</v>
      </c>
      <c r="F5" s="1" t="s">
        <v>1962</v>
      </c>
      <c r="G5" s="1" t="s">
        <v>1941</v>
      </c>
      <c r="H5" s="1">
        <v>62711.0</v>
      </c>
      <c r="I5" s="3" t="s">
        <v>1942</v>
      </c>
    </row>
    <row r="6">
      <c r="A6" s="1" t="s">
        <v>21</v>
      </c>
      <c r="B6" s="1" t="s">
        <v>1963</v>
      </c>
      <c r="C6" s="1"/>
      <c r="D6" s="1" t="s">
        <v>1964</v>
      </c>
      <c r="E6" s="1" t="s">
        <v>1965</v>
      </c>
      <c r="F6" s="1" t="s">
        <v>1966</v>
      </c>
      <c r="G6" s="1" t="s">
        <v>1949</v>
      </c>
      <c r="H6" s="1" t="s">
        <v>1967</v>
      </c>
      <c r="I6" s="3" t="s">
        <v>1951</v>
      </c>
    </row>
    <row r="7">
      <c r="A7" s="1" t="s">
        <v>25</v>
      </c>
      <c r="B7" s="1" t="s">
        <v>1968</v>
      </c>
      <c r="C7" s="1"/>
      <c r="D7" s="1" t="s">
        <v>1969</v>
      </c>
      <c r="E7" s="1" t="s">
        <v>1970</v>
      </c>
      <c r="F7" s="1" t="s">
        <v>1971</v>
      </c>
      <c r="G7" s="1" t="s">
        <v>1941</v>
      </c>
      <c r="H7" s="1">
        <v>18505.0</v>
      </c>
      <c r="I7" s="3" t="s">
        <v>1951</v>
      </c>
    </row>
    <row r="8">
      <c r="A8" s="1" t="s">
        <v>28</v>
      </c>
      <c r="B8" s="1" t="s">
        <v>1972</v>
      </c>
      <c r="C8" s="1" t="s">
        <v>1973</v>
      </c>
      <c r="D8" s="1" t="s">
        <v>1974</v>
      </c>
      <c r="E8" s="1" t="s">
        <v>1975</v>
      </c>
      <c r="F8" s="1" t="s">
        <v>1976</v>
      </c>
      <c r="G8" s="1" t="s">
        <v>1941</v>
      </c>
      <c r="H8" s="1">
        <v>45440.0</v>
      </c>
      <c r="I8" s="3" t="s">
        <v>1942</v>
      </c>
    </row>
    <row r="9">
      <c r="A9" s="1" t="s">
        <v>31</v>
      </c>
      <c r="B9" s="1" t="s">
        <v>1977</v>
      </c>
      <c r="C9" s="1"/>
      <c r="D9" s="1" t="s">
        <v>1978</v>
      </c>
      <c r="E9" s="1" t="s">
        <v>1979</v>
      </c>
      <c r="F9" s="1" t="s">
        <v>1980</v>
      </c>
      <c r="G9" s="1" t="s">
        <v>1949</v>
      </c>
      <c r="H9" s="1" t="s">
        <v>1981</v>
      </c>
      <c r="I9" s="3" t="s">
        <v>1942</v>
      </c>
    </row>
    <row r="10">
      <c r="A10" s="1" t="s">
        <v>34</v>
      </c>
      <c r="B10" s="1" t="s">
        <v>1982</v>
      </c>
      <c r="C10" s="1" t="s">
        <v>1983</v>
      </c>
      <c r="D10" s="1" t="s">
        <v>1984</v>
      </c>
      <c r="E10" s="1" t="s">
        <v>1985</v>
      </c>
      <c r="F10" s="1" t="s">
        <v>1986</v>
      </c>
      <c r="G10" s="1" t="s">
        <v>1941</v>
      </c>
      <c r="H10" s="1">
        <v>90045.0</v>
      </c>
      <c r="I10" s="3" t="s">
        <v>1951</v>
      </c>
    </row>
    <row r="11">
      <c r="A11" s="1" t="s">
        <v>37</v>
      </c>
      <c r="B11" s="1" t="s">
        <v>1987</v>
      </c>
      <c r="C11" s="1" t="s">
        <v>1988</v>
      </c>
      <c r="D11" s="1" t="s">
        <v>1989</v>
      </c>
      <c r="E11" s="1" t="s">
        <v>1990</v>
      </c>
      <c r="F11" s="1" t="s">
        <v>1986</v>
      </c>
      <c r="G11" s="1" t="s">
        <v>1941</v>
      </c>
      <c r="H11" s="1">
        <v>90065.0</v>
      </c>
      <c r="I11" s="3" t="s">
        <v>1951</v>
      </c>
    </row>
    <row r="12">
      <c r="A12" s="1" t="s">
        <v>39</v>
      </c>
      <c r="B12" s="1" t="s">
        <v>1991</v>
      </c>
      <c r="C12" s="1" t="s">
        <v>1992</v>
      </c>
      <c r="D12" s="1" t="s">
        <v>1993</v>
      </c>
      <c r="E12" s="1" t="s">
        <v>1994</v>
      </c>
      <c r="F12" s="1" t="s">
        <v>1995</v>
      </c>
      <c r="G12" s="1" t="s">
        <v>1941</v>
      </c>
      <c r="H12" s="1">
        <v>95160.0</v>
      </c>
      <c r="I12" s="3" t="s">
        <v>1951</v>
      </c>
    </row>
    <row r="13">
      <c r="A13" s="1" t="s">
        <v>42</v>
      </c>
      <c r="B13" s="1" t="s">
        <v>1996</v>
      </c>
      <c r="C13" s="1" t="s">
        <v>1997</v>
      </c>
      <c r="D13" s="1" t="s">
        <v>1998</v>
      </c>
      <c r="E13" s="1" t="s">
        <v>1999</v>
      </c>
      <c r="F13" s="1" t="s">
        <v>1995</v>
      </c>
      <c r="G13" s="1" t="s">
        <v>1941</v>
      </c>
      <c r="H13" s="1">
        <v>95194.0</v>
      </c>
      <c r="I13" s="3" t="s">
        <v>1942</v>
      </c>
    </row>
    <row r="14">
      <c r="A14" s="1" t="s">
        <v>45</v>
      </c>
      <c r="B14" s="1" t="s">
        <v>2000</v>
      </c>
      <c r="C14" s="1" t="s">
        <v>2001</v>
      </c>
      <c r="D14" s="1" t="s">
        <v>2002</v>
      </c>
      <c r="E14" s="1" t="s">
        <v>2003</v>
      </c>
      <c r="F14" s="1" t="s">
        <v>2004</v>
      </c>
      <c r="G14" s="1" t="s">
        <v>1941</v>
      </c>
      <c r="H14" s="1">
        <v>23285.0</v>
      </c>
      <c r="I14" s="3" t="s">
        <v>1951</v>
      </c>
    </row>
    <row r="15">
      <c r="A15" s="1" t="s">
        <v>47</v>
      </c>
      <c r="B15" s="1" t="s">
        <v>2005</v>
      </c>
      <c r="C15" s="1" t="s">
        <v>2006</v>
      </c>
      <c r="D15" s="1"/>
      <c r="E15" s="1" t="s">
        <v>2007</v>
      </c>
      <c r="F15" s="1" t="s">
        <v>2008</v>
      </c>
      <c r="G15" s="1" t="s">
        <v>1941</v>
      </c>
      <c r="H15" s="1">
        <v>41905.0</v>
      </c>
      <c r="I15" s="3" t="s">
        <v>1951</v>
      </c>
    </row>
    <row r="16">
      <c r="A16" s="1" t="s">
        <v>50</v>
      </c>
      <c r="B16" s="1" t="s">
        <v>2009</v>
      </c>
      <c r="C16" s="1" t="s">
        <v>2010</v>
      </c>
      <c r="D16" s="1" t="s">
        <v>2011</v>
      </c>
      <c r="E16" s="1" t="s">
        <v>2012</v>
      </c>
      <c r="F16" s="1" t="s">
        <v>2013</v>
      </c>
      <c r="G16" s="1" t="s">
        <v>1941</v>
      </c>
      <c r="H16" s="1">
        <v>63131.0</v>
      </c>
      <c r="I16" s="3" t="s">
        <v>1942</v>
      </c>
    </row>
    <row r="17">
      <c r="A17" s="1" t="s">
        <v>53</v>
      </c>
      <c r="B17" s="1" t="s">
        <v>2014</v>
      </c>
      <c r="C17" s="1" t="s">
        <v>2015</v>
      </c>
      <c r="D17" s="1"/>
      <c r="E17" s="1" t="s">
        <v>2016</v>
      </c>
      <c r="F17" s="1" t="s">
        <v>2017</v>
      </c>
      <c r="G17" s="1" t="s">
        <v>1941</v>
      </c>
      <c r="H17" s="1">
        <v>19172.0</v>
      </c>
      <c r="I17" s="3" t="s">
        <v>1951</v>
      </c>
    </row>
    <row r="18">
      <c r="A18" s="1" t="s">
        <v>56</v>
      </c>
      <c r="B18" s="1" t="s">
        <v>2018</v>
      </c>
      <c r="C18" s="1" t="s">
        <v>2019</v>
      </c>
      <c r="D18" s="1" t="s">
        <v>2020</v>
      </c>
      <c r="E18" s="1" t="s">
        <v>2021</v>
      </c>
      <c r="F18" s="1" t="s">
        <v>2022</v>
      </c>
      <c r="G18" s="1" t="s">
        <v>1941</v>
      </c>
      <c r="H18" s="1">
        <v>97271.0</v>
      </c>
      <c r="I18" s="3" t="s">
        <v>1951</v>
      </c>
    </row>
    <row r="19">
      <c r="A19" s="1" t="s">
        <v>59</v>
      </c>
      <c r="B19" s="1" t="s">
        <v>2023</v>
      </c>
      <c r="C19" s="1" t="s">
        <v>2024</v>
      </c>
      <c r="D19" s="1" t="s">
        <v>2025</v>
      </c>
      <c r="E19" s="1" t="s">
        <v>2026</v>
      </c>
      <c r="F19" s="1" t="s">
        <v>2027</v>
      </c>
      <c r="G19" s="1" t="s">
        <v>1941</v>
      </c>
      <c r="H19" s="1">
        <v>77240.0</v>
      </c>
      <c r="I19" s="3" t="s">
        <v>1951</v>
      </c>
    </row>
    <row r="20">
      <c r="A20" s="1" t="s">
        <v>61</v>
      </c>
      <c r="B20" s="1" t="s">
        <v>2028</v>
      </c>
      <c r="C20" s="1" t="s">
        <v>2029</v>
      </c>
      <c r="D20" s="1"/>
      <c r="E20" s="1" t="s">
        <v>2030</v>
      </c>
      <c r="F20" s="1" t="s">
        <v>2031</v>
      </c>
      <c r="G20" s="1" t="s">
        <v>1949</v>
      </c>
      <c r="H20" s="1" t="s">
        <v>2032</v>
      </c>
      <c r="I20" s="3" t="s">
        <v>1942</v>
      </c>
    </row>
    <row r="21" ht="15.75" customHeight="1">
      <c r="A21" s="1" t="s">
        <v>63</v>
      </c>
      <c r="B21" s="1" t="s">
        <v>2033</v>
      </c>
      <c r="C21" s="1" t="s">
        <v>2034</v>
      </c>
      <c r="D21" s="1" t="s">
        <v>2035</v>
      </c>
      <c r="E21" s="1" t="s">
        <v>2036</v>
      </c>
      <c r="F21" s="1" t="s">
        <v>2037</v>
      </c>
      <c r="G21" s="1" t="s">
        <v>1941</v>
      </c>
      <c r="H21" s="1">
        <v>10060.0</v>
      </c>
      <c r="I21" s="3" t="s">
        <v>1942</v>
      </c>
    </row>
    <row r="22" ht="15.75" customHeight="1">
      <c r="A22" s="1" t="s">
        <v>2038</v>
      </c>
      <c r="B22" s="1" t="s">
        <v>2039</v>
      </c>
      <c r="C22" s="1"/>
      <c r="D22" s="1" t="s">
        <v>2040</v>
      </c>
      <c r="E22" s="1" t="s">
        <v>2041</v>
      </c>
      <c r="F22" s="1" t="s">
        <v>2042</v>
      </c>
      <c r="G22" s="1" t="s">
        <v>1949</v>
      </c>
      <c r="H22" s="1" t="s">
        <v>2043</v>
      </c>
      <c r="I22" s="3" t="s">
        <v>1942</v>
      </c>
    </row>
    <row r="23" ht="15.75" customHeight="1">
      <c r="A23" s="1" t="s">
        <v>66</v>
      </c>
      <c r="B23" s="1" t="s">
        <v>2044</v>
      </c>
      <c r="C23" s="1" t="s">
        <v>2045</v>
      </c>
      <c r="D23" s="1" t="s">
        <v>2046</v>
      </c>
      <c r="E23" s="1" t="s">
        <v>2047</v>
      </c>
      <c r="F23" s="1" t="s">
        <v>2048</v>
      </c>
      <c r="G23" s="1" t="s">
        <v>1941</v>
      </c>
      <c r="H23" s="1">
        <v>49560.0</v>
      </c>
      <c r="I23" s="3" t="s">
        <v>1951</v>
      </c>
    </row>
    <row r="24" ht="15.75" customHeight="1">
      <c r="A24" s="1" t="s">
        <v>69</v>
      </c>
      <c r="B24" s="1" t="s">
        <v>2049</v>
      </c>
      <c r="C24" s="1" t="s">
        <v>2050</v>
      </c>
      <c r="D24" s="1" t="s">
        <v>2051</v>
      </c>
      <c r="E24" s="1" t="s">
        <v>2052</v>
      </c>
      <c r="F24" s="1" t="s">
        <v>2053</v>
      </c>
      <c r="G24" s="1" t="s">
        <v>1941</v>
      </c>
      <c r="H24" s="1">
        <v>33982.0</v>
      </c>
      <c r="I24" s="3" t="s">
        <v>1942</v>
      </c>
    </row>
    <row r="25" ht="15.75" customHeight="1">
      <c r="A25" s="1" t="s">
        <v>71</v>
      </c>
      <c r="B25" s="1" t="s">
        <v>2054</v>
      </c>
      <c r="C25" s="1" t="s">
        <v>2055</v>
      </c>
      <c r="D25" s="1" t="s">
        <v>2056</v>
      </c>
      <c r="E25" s="1" t="s">
        <v>2057</v>
      </c>
      <c r="F25" s="1" t="s">
        <v>2058</v>
      </c>
      <c r="G25" s="1" t="s">
        <v>1941</v>
      </c>
      <c r="H25" s="1">
        <v>98682.0</v>
      </c>
      <c r="I25" s="3" t="s">
        <v>1942</v>
      </c>
    </row>
    <row r="26" ht="15.75" customHeight="1">
      <c r="A26" s="1" t="s">
        <v>73</v>
      </c>
      <c r="B26" s="1" t="s">
        <v>2059</v>
      </c>
      <c r="C26" s="1" t="s">
        <v>2060</v>
      </c>
      <c r="D26" s="1" t="s">
        <v>2061</v>
      </c>
      <c r="E26" s="1" t="s">
        <v>2062</v>
      </c>
      <c r="F26" s="1" t="s">
        <v>2063</v>
      </c>
      <c r="G26" s="1" t="s">
        <v>1941</v>
      </c>
      <c r="H26" s="1">
        <v>80150.0</v>
      </c>
      <c r="I26" s="3" t="s">
        <v>1951</v>
      </c>
    </row>
    <row r="27" ht="15.75" customHeight="1">
      <c r="A27" s="1" t="s">
        <v>76</v>
      </c>
      <c r="B27" s="1" t="s">
        <v>2064</v>
      </c>
      <c r="C27" s="1"/>
      <c r="D27" s="1" t="s">
        <v>2065</v>
      </c>
      <c r="E27" s="1" t="s">
        <v>2066</v>
      </c>
      <c r="F27" s="1" t="s">
        <v>2053</v>
      </c>
      <c r="G27" s="1" t="s">
        <v>1941</v>
      </c>
      <c r="H27" s="1">
        <v>33982.0</v>
      </c>
      <c r="I27" s="3" t="s">
        <v>1942</v>
      </c>
    </row>
    <row r="28" ht="15.75" customHeight="1">
      <c r="A28" s="1" t="s">
        <v>79</v>
      </c>
      <c r="B28" s="1" t="s">
        <v>2067</v>
      </c>
      <c r="C28" s="1" t="s">
        <v>2068</v>
      </c>
      <c r="D28" s="1" t="s">
        <v>2069</v>
      </c>
      <c r="E28" s="1" t="s">
        <v>2070</v>
      </c>
      <c r="F28" s="1" t="s">
        <v>2071</v>
      </c>
      <c r="G28" s="1" t="s">
        <v>1941</v>
      </c>
      <c r="H28" s="1">
        <v>94975.0</v>
      </c>
      <c r="I28" s="3" t="s">
        <v>1942</v>
      </c>
    </row>
    <row r="29" ht="15.75" customHeight="1">
      <c r="A29" s="1" t="s">
        <v>82</v>
      </c>
      <c r="B29" s="1" t="s">
        <v>2072</v>
      </c>
      <c r="C29" s="1" t="s">
        <v>2073</v>
      </c>
      <c r="D29" s="1" t="s">
        <v>2074</v>
      </c>
      <c r="E29" s="1" t="s">
        <v>2075</v>
      </c>
      <c r="F29" s="1" t="s">
        <v>2076</v>
      </c>
      <c r="G29" s="1" t="s">
        <v>1949</v>
      </c>
      <c r="H29" s="1" t="s">
        <v>2077</v>
      </c>
      <c r="I29" s="3" t="s">
        <v>1951</v>
      </c>
    </row>
    <row r="30" ht="15.75" customHeight="1">
      <c r="A30" s="1" t="s">
        <v>84</v>
      </c>
      <c r="B30" s="1" t="s">
        <v>2078</v>
      </c>
      <c r="C30" s="1" t="s">
        <v>2079</v>
      </c>
      <c r="D30" s="1" t="s">
        <v>2080</v>
      </c>
      <c r="E30" s="1" t="s">
        <v>2081</v>
      </c>
      <c r="F30" s="1" t="s">
        <v>2082</v>
      </c>
      <c r="G30" s="1" t="s">
        <v>1949</v>
      </c>
      <c r="H30" s="1" t="s">
        <v>2083</v>
      </c>
      <c r="I30" s="3" t="s">
        <v>1951</v>
      </c>
    </row>
    <row r="31" ht="15.75" customHeight="1">
      <c r="A31" s="1" t="s">
        <v>87</v>
      </c>
      <c r="B31" s="1" t="s">
        <v>2084</v>
      </c>
      <c r="C31" s="1" t="s">
        <v>2085</v>
      </c>
      <c r="D31" s="1" t="s">
        <v>2086</v>
      </c>
      <c r="E31" s="1" t="s">
        <v>2087</v>
      </c>
      <c r="F31" s="1" t="s">
        <v>2088</v>
      </c>
      <c r="G31" s="1" t="s">
        <v>1949</v>
      </c>
      <c r="H31" s="1" t="s">
        <v>2089</v>
      </c>
      <c r="I31" s="3" t="s">
        <v>1942</v>
      </c>
    </row>
    <row r="32" ht="15.75" customHeight="1">
      <c r="A32" s="1" t="s">
        <v>89</v>
      </c>
      <c r="B32" s="1" t="s">
        <v>2090</v>
      </c>
      <c r="C32" s="1"/>
      <c r="D32" s="1" t="s">
        <v>2091</v>
      </c>
      <c r="E32" s="1" t="s">
        <v>2092</v>
      </c>
      <c r="F32" s="1" t="s">
        <v>2093</v>
      </c>
      <c r="G32" s="1" t="s">
        <v>1941</v>
      </c>
      <c r="H32" s="1">
        <v>80044.0</v>
      </c>
      <c r="I32" s="3" t="s">
        <v>1951</v>
      </c>
    </row>
    <row r="33" ht="15.75" customHeight="1">
      <c r="A33" s="1" t="s">
        <v>2094</v>
      </c>
      <c r="B33" s="1" t="s">
        <v>2095</v>
      </c>
      <c r="C33" s="1" t="s">
        <v>2096</v>
      </c>
      <c r="D33" s="1" t="s">
        <v>2097</v>
      </c>
      <c r="E33" s="1" t="s">
        <v>2098</v>
      </c>
      <c r="F33" s="1" t="s">
        <v>2099</v>
      </c>
      <c r="G33" s="1" t="s">
        <v>1941</v>
      </c>
      <c r="H33" s="1">
        <v>11407.0</v>
      </c>
      <c r="I33" s="3" t="s">
        <v>1951</v>
      </c>
    </row>
    <row r="34" ht="15.75" customHeight="1">
      <c r="A34" s="1" t="s">
        <v>2100</v>
      </c>
      <c r="B34" s="1" t="s">
        <v>2101</v>
      </c>
      <c r="C34" s="1" t="s">
        <v>2102</v>
      </c>
      <c r="D34" s="1" t="s">
        <v>2103</v>
      </c>
      <c r="E34" s="1" t="s">
        <v>2104</v>
      </c>
      <c r="F34" s="1" t="s">
        <v>2105</v>
      </c>
      <c r="G34" s="1" t="s">
        <v>1949</v>
      </c>
      <c r="H34" s="1" t="s">
        <v>2106</v>
      </c>
      <c r="I34" s="3" t="s">
        <v>1942</v>
      </c>
    </row>
    <row r="35" ht="15.75" customHeight="1">
      <c r="A35" s="1" t="s">
        <v>93</v>
      </c>
      <c r="B35" s="1" t="s">
        <v>2107</v>
      </c>
      <c r="C35" s="1" t="s">
        <v>2108</v>
      </c>
      <c r="D35" s="1"/>
      <c r="E35" s="1" t="s">
        <v>2109</v>
      </c>
      <c r="F35" s="1" t="s">
        <v>2110</v>
      </c>
      <c r="G35" s="1" t="s">
        <v>1941</v>
      </c>
      <c r="H35" s="1">
        <v>58207.0</v>
      </c>
      <c r="I35" s="3" t="s">
        <v>1951</v>
      </c>
    </row>
    <row r="36" ht="15.75" customHeight="1">
      <c r="A36" s="1" t="s">
        <v>95</v>
      </c>
      <c r="B36" s="1" t="s">
        <v>2111</v>
      </c>
      <c r="C36" s="1" t="s">
        <v>2112</v>
      </c>
      <c r="D36" s="1" t="s">
        <v>2113</v>
      </c>
      <c r="E36" s="1" t="s">
        <v>2114</v>
      </c>
      <c r="F36" s="1" t="s">
        <v>2115</v>
      </c>
      <c r="G36" s="1" t="s">
        <v>2116</v>
      </c>
      <c r="H36" s="1" t="s">
        <v>2117</v>
      </c>
      <c r="I36" s="3" t="s">
        <v>1942</v>
      </c>
    </row>
    <row r="37" ht="15.75" customHeight="1">
      <c r="A37" s="1" t="s">
        <v>98</v>
      </c>
      <c r="B37" s="1" t="s">
        <v>2118</v>
      </c>
      <c r="C37" s="1" t="s">
        <v>2119</v>
      </c>
      <c r="D37" s="1" t="s">
        <v>2120</v>
      </c>
      <c r="E37" s="1" t="s">
        <v>2121</v>
      </c>
      <c r="F37" s="1" t="s">
        <v>2122</v>
      </c>
      <c r="G37" s="1" t="s">
        <v>1941</v>
      </c>
      <c r="H37" s="1">
        <v>25362.0</v>
      </c>
      <c r="I37" s="3" t="s">
        <v>1951</v>
      </c>
    </row>
    <row r="38" ht="15.75" customHeight="1">
      <c r="A38" s="1" t="s">
        <v>100</v>
      </c>
      <c r="B38" s="1" t="s">
        <v>2123</v>
      </c>
      <c r="C38" s="1" t="s">
        <v>2124</v>
      </c>
      <c r="D38" s="1" t="s">
        <v>2125</v>
      </c>
      <c r="E38" s="1" t="s">
        <v>2126</v>
      </c>
      <c r="F38" s="1" t="s">
        <v>2127</v>
      </c>
      <c r="G38" s="1" t="s">
        <v>1941</v>
      </c>
      <c r="H38" s="1">
        <v>72204.0</v>
      </c>
      <c r="I38" s="3" t="s">
        <v>1951</v>
      </c>
    </row>
    <row r="39" ht="15.75" customHeight="1">
      <c r="A39" s="1" t="s">
        <v>102</v>
      </c>
      <c r="B39" s="1" t="s">
        <v>2128</v>
      </c>
      <c r="C39" s="1" t="s">
        <v>2129</v>
      </c>
      <c r="D39" s="1" t="s">
        <v>2130</v>
      </c>
      <c r="E39" s="1" t="s">
        <v>2131</v>
      </c>
      <c r="F39" s="1" t="s">
        <v>2132</v>
      </c>
      <c r="G39" s="1" t="s">
        <v>1941</v>
      </c>
      <c r="H39" s="1">
        <v>80291.0</v>
      </c>
      <c r="I39" s="3" t="s">
        <v>1951</v>
      </c>
    </row>
    <row r="40" ht="15.75" customHeight="1">
      <c r="A40" s="1" t="s">
        <v>104</v>
      </c>
      <c r="B40" s="1" t="s">
        <v>2133</v>
      </c>
      <c r="C40" s="1" t="s">
        <v>2134</v>
      </c>
      <c r="D40" s="1" t="s">
        <v>2135</v>
      </c>
      <c r="E40" s="1" t="s">
        <v>2136</v>
      </c>
      <c r="F40" s="1" t="s">
        <v>2137</v>
      </c>
      <c r="G40" s="1" t="s">
        <v>1941</v>
      </c>
      <c r="H40" s="1">
        <v>55458.0</v>
      </c>
      <c r="I40" s="3" t="s">
        <v>1951</v>
      </c>
    </row>
    <row r="41" ht="15.75" customHeight="1">
      <c r="A41" s="1" t="s">
        <v>106</v>
      </c>
      <c r="B41" s="1" t="s">
        <v>2138</v>
      </c>
      <c r="C41" s="1"/>
      <c r="D41" s="1"/>
      <c r="E41" s="1" t="s">
        <v>2139</v>
      </c>
      <c r="F41" s="1" t="s">
        <v>2140</v>
      </c>
      <c r="G41" s="1" t="s">
        <v>1941</v>
      </c>
      <c r="H41" s="1">
        <v>85715.0</v>
      </c>
      <c r="I41" s="3" t="s">
        <v>1942</v>
      </c>
    </row>
    <row r="42" ht="15.75" customHeight="1">
      <c r="A42" s="1" t="s">
        <v>108</v>
      </c>
      <c r="B42" s="1" t="s">
        <v>2141</v>
      </c>
      <c r="C42" s="1"/>
      <c r="D42" s="1" t="s">
        <v>2142</v>
      </c>
      <c r="E42" s="1" t="s">
        <v>2143</v>
      </c>
      <c r="F42" s="1" t="s">
        <v>2144</v>
      </c>
      <c r="G42" s="1" t="s">
        <v>1941</v>
      </c>
      <c r="H42" s="1">
        <v>70116.0</v>
      </c>
      <c r="I42" s="3" t="s">
        <v>1951</v>
      </c>
    </row>
    <row r="43" ht="15.75" customHeight="1">
      <c r="A43" s="1" t="s">
        <v>111</v>
      </c>
      <c r="B43" s="1" t="s">
        <v>2145</v>
      </c>
      <c r="C43" s="1" t="s">
        <v>2146</v>
      </c>
      <c r="D43" s="1" t="s">
        <v>2147</v>
      </c>
      <c r="E43" s="1" t="s">
        <v>2148</v>
      </c>
      <c r="F43" s="1" t="s">
        <v>2149</v>
      </c>
      <c r="G43" s="1" t="s">
        <v>1941</v>
      </c>
      <c r="H43" s="1">
        <v>6183.0</v>
      </c>
      <c r="I43" s="3" t="s">
        <v>1942</v>
      </c>
    </row>
    <row r="44" ht="15.75" customHeight="1">
      <c r="A44" s="1" t="s">
        <v>113</v>
      </c>
      <c r="B44" s="1" t="s">
        <v>2150</v>
      </c>
      <c r="C44" s="1" t="s">
        <v>2151</v>
      </c>
      <c r="D44" s="1" t="s">
        <v>2152</v>
      </c>
      <c r="E44" s="1" t="s">
        <v>2153</v>
      </c>
      <c r="F44" s="1" t="s">
        <v>2154</v>
      </c>
      <c r="G44" s="1" t="s">
        <v>1941</v>
      </c>
      <c r="H44" s="1">
        <v>84409.0</v>
      </c>
      <c r="I44" s="3" t="s">
        <v>1942</v>
      </c>
    </row>
    <row r="45" ht="15.75" customHeight="1">
      <c r="A45" s="1" t="s">
        <v>116</v>
      </c>
      <c r="B45" s="1" t="s">
        <v>2155</v>
      </c>
      <c r="C45" s="1"/>
      <c r="D45" s="1" t="s">
        <v>2156</v>
      </c>
      <c r="E45" s="1" t="s">
        <v>2157</v>
      </c>
      <c r="F45" s="1" t="s">
        <v>2158</v>
      </c>
      <c r="G45" s="1" t="s">
        <v>1941</v>
      </c>
      <c r="H45" s="1">
        <v>2216.0</v>
      </c>
      <c r="I45" s="3" t="s">
        <v>1951</v>
      </c>
    </row>
    <row r="46" ht="15.75" customHeight="1">
      <c r="A46" s="1" t="s">
        <v>119</v>
      </c>
      <c r="B46" s="1" t="s">
        <v>2159</v>
      </c>
      <c r="C46" s="1" t="s">
        <v>2160</v>
      </c>
      <c r="D46" s="1" t="s">
        <v>2161</v>
      </c>
      <c r="E46" s="1" t="s">
        <v>2162</v>
      </c>
      <c r="F46" s="1" t="s">
        <v>2163</v>
      </c>
      <c r="G46" s="1" t="s">
        <v>1941</v>
      </c>
      <c r="H46" s="1">
        <v>14604.0</v>
      </c>
      <c r="I46" s="3" t="s">
        <v>1942</v>
      </c>
    </row>
    <row r="47" ht="15.75" customHeight="1">
      <c r="A47" s="1" t="s">
        <v>121</v>
      </c>
      <c r="B47" s="1" t="s">
        <v>2164</v>
      </c>
      <c r="C47" s="1" t="s">
        <v>2165</v>
      </c>
      <c r="D47" s="1" t="s">
        <v>2166</v>
      </c>
      <c r="E47" s="1" t="s">
        <v>2167</v>
      </c>
      <c r="F47" s="1" t="s">
        <v>2168</v>
      </c>
      <c r="G47" s="1" t="s">
        <v>1941</v>
      </c>
      <c r="H47" s="1">
        <v>10469.0</v>
      </c>
      <c r="I47" s="3" t="s">
        <v>1951</v>
      </c>
    </row>
    <row r="48" ht="15.75" customHeight="1">
      <c r="A48" s="1" t="s">
        <v>124</v>
      </c>
      <c r="B48" s="1" t="s">
        <v>2169</v>
      </c>
      <c r="C48" s="1"/>
      <c r="D48" s="1" t="s">
        <v>2170</v>
      </c>
      <c r="E48" s="1" t="s">
        <v>2171</v>
      </c>
      <c r="F48" s="1" t="s">
        <v>2172</v>
      </c>
      <c r="G48" s="1" t="s">
        <v>1941</v>
      </c>
      <c r="H48" s="1">
        <v>35205.0</v>
      </c>
      <c r="I48" s="3" t="s">
        <v>1942</v>
      </c>
    </row>
    <row r="49" ht="15.75" customHeight="1">
      <c r="A49" s="1" t="s">
        <v>127</v>
      </c>
      <c r="B49" s="1" t="s">
        <v>2173</v>
      </c>
      <c r="C49" s="1" t="s">
        <v>2174</v>
      </c>
      <c r="D49" s="1" t="s">
        <v>2175</v>
      </c>
      <c r="E49" s="1" t="s">
        <v>2176</v>
      </c>
      <c r="F49" s="1" t="s">
        <v>2177</v>
      </c>
      <c r="G49" s="1" t="s">
        <v>1941</v>
      </c>
      <c r="H49" s="1">
        <v>92415.0</v>
      </c>
      <c r="I49" s="3" t="s">
        <v>1942</v>
      </c>
    </row>
    <row r="50" ht="15.75" customHeight="1">
      <c r="A50" s="1" t="s">
        <v>130</v>
      </c>
      <c r="B50" s="1" t="s">
        <v>2178</v>
      </c>
      <c r="C50" s="1" t="s">
        <v>2179</v>
      </c>
      <c r="D50" s="1"/>
      <c r="E50" s="1" t="s">
        <v>2180</v>
      </c>
      <c r="F50" s="1" t="s">
        <v>2181</v>
      </c>
      <c r="G50" s="1" t="s">
        <v>1941</v>
      </c>
      <c r="H50" s="1">
        <v>23514.0</v>
      </c>
      <c r="I50" s="3" t="s">
        <v>1951</v>
      </c>
    </row>
    <row r="51" ht="15.75" customHeight="1">
      <c r="A51" s="1" t="s">
        <v>133</v>
      </c>
      <c r="B51" s="1" t="s">
        <v>2182</v>
      </c>
      <c r="C51" s="1" t="s">
        <v>2183</v>
      </c>
      <c r="D51" s="1" t="s">
        <v>2184</v>
      </c>
      <c r="E51" s="1" t="s">
        <v>2185</v>
      </c>
      <c r="F51" s="1" t="s">
        <v>2186</v>
      </c>
      <c r="G51" s="1" t="s">
        <v>1941</v>
      </c>
      <c r="H51" s="1">
        <v>20409.0</v>
      </c>
      <c r="I51" s="3" t="s">
        <v>1951</v>
      </c>
    </row>
    <row r="52" ht="15.75" customHeight="1">
      <c r="A52" s="1" t="s">
        <v>135</v>
      </c>
      <c r="B52" s="1" t="s">
        <v>2187</v>
      </c>
      <c r="C52" s="1" t="s">
        <v>2188</v>
      </c>
      <c r="D52" s="1" t="s">
        <v>2189</v>
      </c>
      <c r="E52" s="1" t="s">
        <v>2190</v>
      </c>
      <c r="F52" s="1" t="s">
        <v>2191</v>
      </c>
      <c r="G52" s="1" t="s">
        <v>1941</v>
      </c>
      <c r="H52" s="1">
        <v>33355.0</v>
      </c>
      <c r="I52" s="3" t="s">
        <v>1951</v>
      </c>
    </row>
    <row r="53" ht="15.75" customHeight="1">
      <c r="A53" s="1" t="s">
        <v>138</v>
      </c>
      <c r="B53" s="1" t="s">
        <v>2192</v>
      </c>
      <c r="C53" s="1" t="s">
        <v>2193</v>
      </c>
      <c r="D53" s="1" t="s">
        <v>2194</v>
      </c>
      <c r="E53" s="1" t="s">
        <v>2195</v>
      </c>
      <c r="F53" s="1" t="s">
        <v>1948</v>
      </c>
      <c r="G53" s="1" t="s">
        <v>1949</v>
      </c>
      <c r="H53" s="1" t="s">
        <v>1950</v>
      </c>
      <c r="I53" s="3" t="s">
        <v>1942</v>
      </c>
    </row>
    <row r="54" ht="15.75" customHeight="1">
      <c r="A54" s="1" t="s">
        <v>140</v>
      </c>
      <c r="B54" s="1" t="s">
        <v>2196</v>
      </c>
      <c r="C54" s="1" t="s">
        <v>2197</v>
      </c>
      <c r="D54" s="1"/>
      <c r="E54" s="1" t="s">
        <v>2198</v>
      </c>
      <c r="F54" s="1" t="s">
        <v>2199</v>
      </c>
      <c r="G54" s="1" t="s">
        <v>2116</v>
      </c>
      <c r="H54" s="1" t="s">
        <v>2200</v>
      </c>
      <c r="I54" s="3" t="s">
        <v>1951</v>
      </c>
    </row>
    <row r="55" ht="15.75" customHeight="1">
      <c r="A55" s="1" t="s">
        <v>2201</v>
      </c>
      <c r="B55" s="1" t="s">
        <v>2202</v>
      </c>
      <c r="C55" s="1" t="s">
        <v>2203</v>
      </c>
      <c r="D55" s="1" t="s">
        <v>2204</v>
      </c>
      <c r="E55" s="1" t="s">
        <v>2205</v>
      </c>
      <c r="F55" s="1" t="s">
        <v>2206</v>
      </c>
      <c r="G55" s="1" t="s">
        <v>1941</v>
      </c>
      <c r="H55" s="1">
        <v>84605.0</v>
      </c>
      <c r="I55" s="3" t="s">
        <v>1951</v>
      </c>
    </row>
    <row r="56" ht="15.75" customHeight="1">
      <c r="A56" s="1" t="s">
        <v>142</v>
      </c>
      <c r="B56" s="1" t="s">
        <v>2207</v>
      </c>
      <c r="C56" s="1" t="s">
        <v>2208</v>
      </c>
      <c r="D56" s="1" t="s">
        <v>2209</v>
      </c>
      <c r="E56" s="1" t="s">
        <v>2210</v>
      </c>
      <c r="F56" s="1" t="s">
        <v>2211</v>
      </c>
      <c r="G56" s="1" t="s">
        <v>1941</v>
      </c>
      <c r="H56" s="1">
        <v>43666.0</v>
      </c>
      <c r="I56" s="3" t="s">
        <v>1951</v>
      </c>
    </row>
    <row r="57" ht="15.75" customHeight="1">
      <c r="A57" s="1" t="s">
        <v>144</v>
      </c>
      <c r="B57" s="1" t="s">
        <v>2212</v>
      </c>
      <c r="C57" s="1"/>
      <c r="D57" s="1" t="s">
        <v>2213</v>
      </c>
      <c r="E57" s="1" t="s">
        <v>2214</v>
      </c>
      <c r="F57" s="1" t="s">
        <v>2215</v>
      </c>
      <c r="G57" s="1" t="s">
        <v>1941</v>
      </c>
      <c r="H57" s="1">
        <v>8650.0</v>
      </c>
      <c r="I57" s="3" t="s">
        <v>1951</v>
      </c>
    </row>
    <row r="58" ht="15.75" customHeight="1">
      <c r="A58" s="1" t="s">
        <v>147</v>
      </c>
      <c r="B58" s="1" t="s">
        <v>2216</v>
      </c>
      <c r="C58" s="1" t="s">
        <v>2217</v>
      </c>
      <c r="D58" s="1" t="s">
        <v>2218</v>
      </c>
      <c r="E58" s="1" t="s">
        <v>2219</v>
      </c>
      <c r="F58" s="1" t="s">
        <v>2220</v>
      </c>
      <c r="G58" s="1" t="s">
        <v>1941</v>
      </c>
      <c r="H58" s="1">
        <v>33686.0</v>
      </c>
      <c r="I58" s="3" t="s">
        <v>1942</v>
      </c>
    </row>
    <row r="59" ht="15.75" customHeight="1">
      <c r="A59" s="1" t="s">
        <v>149</v>
      </c>
      <c r="B59" s="1" t="s">
        <v>2221</v>
      </c>
      <c r="C59" s="1" t="s">
        <v>2222</v>
      </c>
      <c r="D59" s="1" t="s">
        <v>2223</v>
      </c>
      <c r="E59" s="1" t="s">
        <v>2224</v>
      </c>
      <c r="F59" s="1" t="s">
        <v>2225</v>
      </c>
      <c r="G59" s="1" t="s">
        <v>1941</v>
      </c>
      <c r="H59" s="1">
        <v>32590.0</v>
      </c>
      <c r="I59" s="3" t="s">
        <v>1951</v>
      </c>
    </row>
    <row r="60" ht="15.75" customHeight="1">
      <c r="A60" s="1" t="s">
        <v>152</v>
      </c>
      <c r="B60" s="1" t="s">
        <v>2226</v>
      </c>
      <c r="C60" s="1"/>
      <c r="D60" s="1" t="s">
        <v>2227</v>
      </c>
      <c r="E60" s="1" t="s">
        <v>2228</v>
      </c>
      <c r="F60" s="1" t="s">
        <v>2229</v>
      </c>
      <c r="G60" s="1" t="s">
        <v>1941</v>
      </c>
      <c r="H60" s="1">
        <v>33543.0</v>
      </c>
      <c r="I60" s="3" t="s">
        <v>1942</v>
      </c>
    </row>
    <row r="61" ht="15.75" customHeight="1">
      <c r="A61" s="1" t="s">
        <v>154</v>
      </c>
      <c r="B61" s="1" t="s">
        <v>2230</v>
      </c>
      <c r="C61" s="1" t="s">
        <v>2231</v>
      </c>
      <c r="D61" s="1"/>
      <c r="E61" s="1" t="s">
        <v>2232</v>
      </c>
      <c r="F61" s="1" t="s">
        <v>2233</v>
      </c>
      <c r="G61" s="1" t="s">
        <v>1941</v>
      </c>
      <c r="H61" s="1">
        <v>55123.0</v>
      </c>
      <c r="I61" s="3" t="s">
        <v>1942</v>
      </c>
    </row>
    <row r="62" ht="15.75" customHeight="1">
      <c r="A62" s="1" t="s">
        <v>156</v>
      </c>
      <c r="B62" s="1" t="s">
        <v>2234</v>
      </c>
      <c r="C62" s="1" t="s">
        <v>2235</v>
      </c>
      <c r="D62" s="1" t="s">
        <v>2236</v>
      </c>
      <c r="E62" s="1" t="s">
        <v>2237</v>
      </c>
      <c r="F62" s="1" t="s">
        <v>2238</v>
      </c>
      <c r="G62" s="1" t="s">
        <v>1941</v>
      </c>
      <c r="H62" s="1">
        <v>46862.0</v>
      </c>
      <c r="I62" s="3" t="s">
        <v>1951</v>
      </c>
    </row>
    <row r="63" ht="15.75" customHeight="1">
      <c r="A63" s="1" t="s">
        <v>158</v>
      </c>
      <c r="B63" s="1" t="s">
        <v>2239</v>
      </c>
      <c r="C63" s="1"/>
      <c r="D63" s="1" t="s">
        <v>2240</v>
      </c>
      <c r="E63" s="1" t="s">
        <v>2241</v>
      </c>
      <c r="F63" s="1" t="s">
        <v>2242</v>
      </c>
      <c r="G63" s="1" t="s">
        <v>2116</v>
      </c>
      <c r="H63" s="1" t="s">
        <v>2243</v>
      </c>
      <c r="I63" s="3" t="s">
        <v>1942</v>
      </c>
    </row>
    <row r="64" ht="15.75" customHeight="1">
      <c r="A64" s="1" t="s">
        <v>161</v>
      </c>
      <c r="B64" s="1" t="s">
        <v>2244</v>
      </c>
      <c r="C64" s="1"/>
      <c r="D64" s="1" t="s">
        <v>2245</v>
      </c>
      <c r="E64" s="1" t="s">
        <v>2246</v>
      </c>
      <c r="F64" s="1" t="s">
        <v>2247</v>
      </c>
      <c r="G64" s="1" t="s">
        <v>1941</v>
      </c>
      <c r="H64" s="1">
        <v>34114.0</v>
      </c>
      <c r="I64" s="3" t="s">
        <v>1942</v>
      </c>
    </row>
    <row r="65" ht="15.75" customHeight="1">
      <c r="A65" s="1" t="s">
        <v>163</v>
      </c>
      <c r="B65" s="1" t="s">
        <v>2248</v>
      </c>
      <c r="C65" s="1" t="s">
        <v>2249</v>
      </c>
      <c r="D65" s="1" t="s">
        <v>2250</v>
      </c>
      <c r="E65" s="1" t="s">
        <v>2251</v>
      </c>
      <c r="F65" s="1" t="s">
        <v>2252</v>
      </c>
      <c r="G65" s="1" t="s">
        <v>1941</v>
      </c>
      <c r="H65" s="1">
        <v>60681.0</v>
      </c>
      <c r="I65" s="3" t="s">
        <v>1951</v>
      </c>
    </row>
    <row r="66" ht="15.75" customHeight="1">
      <c r="A66" s="1" t="s">
        <v>165</v>
      </c>
      <c r="B66" s="1" t="s">
        <v>2253</v>
      </c>
      <c r="C66" s="1"/>
      <c r="D66" s="1" t="s">
        <v>2254</v>
      </c>
      <c r="E66" s="1" t="s">
        <v>2255</v>
      </c>
      <c r="F66" s="1" t="s">
        <v>2256</v>
      </c>
      <c r="G66" s="1" t="s">
        <v>1941</v>
      </c>
      <c r="H66" s="1">
        <v>7104.0</v>
      </c>
      <c r="I66" s="3" t="s">
        <v>1942</v>
      </c>
    </row>
    <row r="67" ht="15.75" customHeight="1">
      <c r="A67" s="1" t="s">
        <v>167</v>
      </c>
      <c r="B67" s="1" t="s">
        <v>2257</v>
      </c>
      <c r="C67" s="1" t="s">
        <v>2258</v>
      </c>
      <c r="D67" s="1" t="s">
        <v>2259</v>
      </c>
      <c r="E67" s="1" t="s">
        <v>2260</v>
      </c>
      <c r="F67" s="1" t="s">
        <v>2261</v>
      </c>
      <c r="G67" s="1" t="s">
        <v>1941</v>
      </c>
      <c r="H67" s="1">
        <v>22184.0</v>
      </c>
      <c r="I67" s="3" t="s">
        <v>1942</v>
      </c>
    </row>
    <row r="68" ht="15.75" customHeight="1">
      <c r="A68" s="1" t="s">
        <v>169</v>
      </c>
      <c r="B68" s="1" t="s">
        <v>2262</v>
      </c>
      <c r="C68" s="1" t="s">
        <v>2263</v>
      </c>
      <c r="D68" s="1" t="s">
        <v>2264</v>
      </c>
      <c r="E68" s="1" t="s">
        <v>2265</v>
      </c>
      <c r="F68" s="1" t="s">
        <v>2266</v>
      </c>
      <c r="G68" s="1" t="s">
        <v>1941</v>
      </c>
      <c r="H68" s="1">
        <v>76178.0</v>
      </c>
      <c r="I68" s="3" t="s">
        <v>1942</v>
      </c>
    </row>
    <row r="69" ht="15.75" customHeight="1">
      <c r="A69" s="1" t="s">
        <v>172</v>
      </c>
      <c r="B69" s="1" t="s">
        <v>2267</v>
      </c>
      <c r="C69" s="1" t="s">
        <v>2268</v>
      </c>
      <c r="D69" s="1" t="s">
        <v>2269</v>
      </c>
      <c r="E69" s="1" t="s">
        <v>2270</v>
      </c>
      <c r="F69" s="1" t="s">
        <v>2271</v>
      </c>
      <c r="G69" s="1" t="s">
        <v>1941</v>
      </c>
      <c r="H69" s="1">
        <v>91505.0</v>
      </c>
      <c r="I69" s="3" t="s">
        <v>1951</v>
      </c>
    </row>
    <row r="70" ht="15.75" customHeight="1">
      <c r="A70" s="1" t="s">
        <v>174</v>
      </c>
      <c r="B70" s="1" t="s">
        <v>2272</v>
      </c>
      <c r="C70" s="1" t="s">
        <v>2273</v>
      </c>
      <c r="D70" s="1" t="s">
        <v>2274</v>
      </c>
      <c r="E70" s="1" t="s">
        <v>2275</v>
      </c>
      <c r="F70" s="1" t="s">
        <v>2276</v>
      </c>
      <c r="G70" s="1" t="s">
        <v>1941</v>
      </c>
      <c r="H70" s="1">
        <v>37665.0</v>
      </c>
      <c r="I70" s="3" t="s">
        <v>1951</v>
      </c>
    </row>
    <row r="71" ht="15.75" customHeight="1">
      <c r="A71" s="1" t="s">
        <v>177</v>
      </c>
      <c r="B71" s="1" t="s">
        <v>2277</v>
      </c>
      <c r="C71" s="1" t="s">
        <v>2278</v>
      </c>
      <c r="D71" s="1" t="s">
        <v>2279</v>
      </c>
      <c r="E71" s="1" t="s">
        <v>2280</v>
      </c>
      <c r="F71" s="1" t="s">
        <v>2281</v>
      </c>
      <c r="G71" s="1" t="s">
        <v>2116</v>
      </c>
      <c r="H71" s="1" t="s">
        <v>2282</v>
      </c>
      <c r="I71" s="3" t="s">
        <v>1942</v>
      </c>
    </row>
    <row r="72" ht="15.75" customHeight="1">
      <c r="A72" s="1" t="s">
        <v>179</v>
      </c>
      <c r="B72" s="1" t="s">
        <v>2283</v>
      </c>
      <c r="C72" s="1" t="s">
        <v>2284</v>
      </c>
      <c r="D72" s="1" t="s">
        <v>2285</v>
      </c>
      <c r="E72" s="1" t="s">
        <v>2286</v>
      </c>
      <c r="F72" s="1" t="s">
        <v>2287</v>
      </c>
      <c r="G72" s="1" t="s">
        <v>1941</v>
      </c>
      <c r="H72" s="1">
        <v>43231.0</v>
      </c>
      <c r="I72" s="3" t="s">
        <v>1951</v>
      </c>
    </row>
    <row r="73" ht="15.75" customHeight="1">
      <c r="A73" s="1" t="s">
        <v>181</v>
      </c>
      <c r="B73" s="1" t="s">
        <v>2288</v>
      </c>
      <c r="C73" s="1" t="s">
        <v>2289</v>
      </c>
      <c r="D73" s="1" t="s">
        <v>2290</v>
      </c>
      <c r="E73" s="1" t="s">
        <v>2291</v>
      </c>
      <c r="F73" s="1" t="s">
        <v>2292</v>
      </c>
      <c r="G73" s="1" t="s">
        <v>1949</v>
      </c>
      <c r="H73" s="1" t="s">
        <v>2293</v>
      </c>
      <c r="I73" s="3" t="s">
        <v>1951</v>
      </c>
    </row>
    <row r="74" ht="15.75" customHeight="1">
      <c r="A74" s="1" t="s">
        <v>183</v>
      </c>
      <c r="B74" s="1" t="s">
        <v>2294</v>
      </c>
      <c r="C74" s="1"/>
      <c r="D74" s="1" t="s">
        <v>2295</v>
      </c>
      <c r="E74" s="1" t="s">
        <v>2296</v>
      </c>
      <c r="F74" s="1" t="s">
        <v>2144</v>
      </c>
      <c r="G74" s="1" t="s">
        <v>1941</v>
      </c>
      <c r="H74" s="1">
        <v>70183.0</v>
      </c>
      <c r="I74" s="3" t="s">
        <v>1951</v>
      </c>
    </row>
    <row r="75" ht="15.75" customHeight="1">
      <c r="A75" s="1" t="s">
        <v>186</v>
      </c>
      <c r="B75" s="1" t="s">
        <v>2297</v>
      </c>
      <c r="C75" s="1"/>
      <c r="D75" s="1" t="s">
        <v>2298</v>
      </c>
      <c r="E75" s="1" t="s">
        <v>2299</v>
      </c>
      <c r="F75" s="1" t="s">
        <v>2300</v>
      </c>
      <c r="G75" s="1" t="s">
        <v>1941</v>
      </c>
      <c r="H75" s="1">
        <v>28230.0</v>
      </c>
      <c r="I75" s="3" t="s">
        <v>1942</v>
      </c>
    </row>
    <row r="76" ht="15.75" customHeight="1">
      <c r="A76" s="1" t="s">
        <v>188</v>
      </c>
      <c r="B76" s="1" t="s">
        <v>2301</v>
      </c>
      <c r="C76" s="1" t="s">
        <v>2302</v>
      </c>
      <c r="D76" s="1" t="s">
        <v>2303</v>
      </c>
      <c r="E76" s="1" t="s">
        <v>2304</v>
      </c>
      <c r="F76" s="1" t="s">
        <v>1962</v>
      </c>
      <c r="G76" s="1" t="s">
        <v>1941</v>
      </c>
      <c r="H76" s="1">
        <v>1114.0</v>
      </c>
      <c r="I76" s="3" t="s">
        <v>1942</v>
      </c>
    </row>
    <row r="77" ht="15.75" customHeight="1">
      <c r="A77" s="1" t="s">
        <v>191</v>
      </c>
      <c r="B77" s="1" t="s">
        <v>2305</v>
      </c>
      <c r="C77" s="1" t="s">
        <v>2306</v>
      </c>
      <c r="D77" s="1" t="s">
        <v>2307</v>
      </c>
      <c r="E77" s="1" t="s">
        <v>2308</v>
      </c>
      <c r="F77" s="1" t="s">
        <v>2309</v>
      </c>
      <c r="G77" s="1" t="s">
        <v>1949</v>
      </c>
      <c r="H77" s="1" t="s">
        <v>2310</v>
      </c>
      <c r="I77" s="3" t="s">
        <v>1942</v>
      </c>
    </row>
    <row r="78" ht="15.75" customHeight="1">
      <c r="A78" s="1" t="s">
        <v>194</v>
      </c>
      <c r="B78" s="1" t="s">
        <v>2311</v>
      </c>
      <c r="C78" s="1"/>
      <c r="D78" s="1" t="s">
        <v>2312</v>
      </c>
      <c r="E78" s="1" t="s">
        <v>2313</v>
      </c>
      <c r="F78" s="1" t="s">
        <v>2314</v>
      </c>
      <c r="G78" s="1" t="s">
        <v>1949</v>
      </c>
      <c r="H78" s="1" t="s">
        <v>2315</v>
      </c>
      <c r="I78" s="3" t="s">
        <v>1942</v>
      </c>
    </row>
    <row r="79" ht="15.75" customHeight="1">
      <c r="A79" s="1" t="s">
        <v>197</v>
      </c>
      <c r="B79" s="1" t="s">
        <v>2316</v>
      </c>
      <c r="C79" s="1" t="s">
        <v>2317</v>
      </c>
      <c r="D79" s="1" t="s">
        <v>2318</v>
      </c>
      <c r="E79" s="1" t="s">
        <v>2319</v>
      </c>
      <c r="F79" s="1" t="s">
        <v>2320</v>
      </c>
      <c r="G79" s="1" t="s">
        <v>1941</v>
      </c>
      <c r="H79" s="1">
        <v>79705.0</v>
      </c>
      <c r="I79" s="3" t="s">
        <v>1951</v>
      </c>
    </row>
    <row r="80" ht="15.75" customHeight="1">
      <c r="A80" s="1" t="s">
        <v>199</v>
      </c>
      <c r="B80" s="1" t="s">
        <v>2321</v>
      </c>
      <c r="C80" s="1" t="s">
        <v>2322</v>
      </c>
      <c r="D80" s="1" t="s">
        <v>2323</v>
      </c>
      <c r="E80" s="1" t="s">
        <v>2324</v>
      </c>
      <c r="F80" s="1" t="s">
        <v>2325</v>
      </c>
      <c r="G80" s="1" t="s">
        <v>1941</v>
      </c>
      <c r="H80" s="1">
        <v>75323.0</v>
      </c>
      <c r="I80" s="3" t="s">
        <v>1942</v>
      </c>
    </row>
    <row r="81" ht="15.75" customHeight="1">
      <c r="A81" s="1" t="s">
        <v>201</v>
      </c>
      <c r="B81" s="1" t="s">
        <v>2326</v>
      </c>
      <c r="C81" s="1" t="s">
        <v>2327</v>
      </c>
      <c r="D81" s="1" t="s">
        <v>2328</v>
      </c>
      <c r="E81" s="1" t="s">
        <v>2329</v>
      </c>
      <c r="F81" s="1" t="s">
        <v>2330</v>
      </c>
      <c r="G81" s="1" t="s">
        <v>1941</v>
      </c>
      <c r="H81" s="1">
        <v>20189.0</v>
      </c>
      <c r="I81" s="3" t="s">
        <v>1951</v>
      </c>
    </row>
    <row r="82" ht="15.75" customHeight="1">
      <c r="A82" s="1" t="s">
        <v>204</v>
      </c>
      <c r="B82" s="1" t="s">
        <v>2331</v>
      </c>
      <c r="C82" s="1" t="s">
        <v>2332</v>
      </c>
      <c r="D82" s="1" t="s">
        <v>2333</v>
      </c>
      <c r="E82" s="1" t="s">
        <v>2334</v>
      </c>
      <c r="F82" s="1" t="s">
        <v>2335</v>
      </c>
      <c r="G82" s="1" t="s">
        <v>1941</v>
      </c>
      <c r="H82" s="1">
        <v>94627.0</v>
      </c>
      <c r="I82" s="3" t="s">
        <v>1942</v>
      </c>
    </row>
    <row r="83" ht="15.75" customHeight="1">
      <c r="A83" s="1" t="s">
        <v>207</v>
      </c>
      <c r="B83" s="1" t="s">
        <v>2336</v>
      </c>
      <c r="C83" s="1" t="s">
        <v>2337</v>
      </c>
      <c r="D83" s="1" t="s">
        <v>2338</v>
      </c>
      <c r="E83" s="1" t="s">
        <v>2339</v>
      </c>
      <c r="F83" s="1" t="s">
        <v>2340</v>
      </c>
      <c r="G83" s="1" t="s">
        <v>1941</v>
      </c>
      <c r="H83" s="1">
        <v>80930.0</v>
      </c>
      <c r="I83" s="3" t="s">
        <v>1942</v>
      </c>
    </row>
    <row r="84" ht="15.75" customHeight="1">
      <c r="A84" s="1" t="s">
        <v>209</v>
      </c>
      <c r="B84" s="1" t="s">
        <v>2341</v>
      </c>
      <c r="C84" s="1" t="s">
        <v>2342</v>
      </c>
      <c r="D84" s="1" t="s">
        <v>2343</v>
      </c>
      <c r="E84" s="1" t="s">
        <v>2344</v>
      </c>
      <c r="F84" s="1" t="s">
        <v>2345</v>
      </c>
      <c r="G84" s="1" t="s">
        <v>1949</v>
      </c>
      <c r="H84" s="1" t="s">
        <v>2346</v>
      </c>
      <c r="I84" s="3" t="s">
        <v>1942</v>
      </c>
    </row>
    <row r="85" ht="15.75" customHeight="1">
      <c r="A85" s="1" t="s">
        <v>212</v>
      </c>
      <c r="B85" s="1" t="s">
        <v>2347</v>
      </c>
      <c r="C85" s="1"/>
      <c r="D85" s="1" t="s">
        <v>2348</v>
      </c>
      <c r="E85" s="1" t="s">
        <v>2349</v>
      </c>
      <c r="F85" s="1" t="s">
        <v>2350</v>
      </c>
      <c r="G85" s="1" t="s">
        <v>1941</v>
      </c>
      <c r="H85" s="1">
        <v>14205.0</v>
      </c>
      <c r="I85" s="3" t="s">
        <v>1942</v>
      </c>
    </row>
    <row r="86" ht="15.75" customHeight="1">
      <c r="A86" s="1" t="s">
        <v>214</v>
      </c>
      <c r="B86" s="1" t="s">
        <v>2351</v>
      </c>
      <c r="C86" s="1" t="s">
        <v>2352</v>
      </c>
      <c r="D86" s="1" t="s">
        <v>2353</v>
      </c>
      <c r="E86" s="1" t="s">
        <v>2354</v>
      </c>
      <c r="F86" s="1" t="s">
        <v>2355</v>
      </c>
      <c r="G86" s="1" t="s">
        <v>1941</v>
      </c>
      <c r="H86" s="1">
        <v>93715.0</v>
      </c>
      <c r="I86" s="3" t="s">
        <v>1951</v>
      </c>
    </row>
    <row r="87" ht="15.75" customHeight="1">
      <c r="A87" s="1" t="s">
        <v>216</v>
      </c>
      <c r="B87" s="1" t="s">
        <v>2356</v>
      </c>
      <c r="C87" s="1" t="s">
        <v>2357</v>
      </c>
      <c r="D87" s="1"/>
      <c r="E87" s="1" t="s">
        <v>2358</v>
      </c>
      <c r="F87" s="1" t="s">
        <v>2266</v>
      </c>
      <c r="G87" s="1" t="s">
        <v>1941</v>
      </c>
      <c r="H87" s="1">
        <v>76121.0</v>
      </c>
      <c r="I87" s="3" t="s">
        <v>1951</v>
      </c>
    </row>
    <row r="88" ht="15.75" customHeight="1">
      <c r="A88" s="1" t="s">
        <v>313</v>
      </c>
      <c r="B88" s="1" t="s">
        <v>2359</v>
      </c>
      <c r="C88" s="1" t="s">
        <v>2360</v>
      </c>
      <c r="D88" s="1"/>
      <c r="E88" s="1" t="s">
        <v>2361</v>
      </c>
      <c r="F88" s="1" t="s">
        <v>2362</v>
      </c>
      <c r="G88" s="1" t="s">
        <v>1941</v>
      </c>
      <c r="H88" s="1">
        <v>73179.0</v>
      </c>
      <c r="I88" s="3" t="s">
        <v>1942</v>
      </c>
    </row>
    <row r="89" ht="15.75" customHeight="1">
      <c r="A89" s="1" t="s">
        <v>219</v>
      </c>
      <c r="B89" s="1" t="s">
        <v>2363</v>
      </c>
      <c r="C89" s="1" t="s">
        <v>2364</v>
      </c>
      <c r="D89" s="1"/>
      <c r="E89" s="1" t="s">
        <v>2365</v>
      </c>
      <c r="F89" s="1" t="s">
        <v>2366</v>
      </c>
      <c r="G89" s="1" t="s">
        <v>1941</v>
      </c>
      <c r="H89" s="1">
        <v>77705.0</v>
      </c>
      <c r="I89" s="3" t="s">
        <v>1951</v>
      </c>
    </row>
    <row r="90" ht="15.75" customHeight="1">
      <c r="A90" s="1" t="s">
        <v>221</v>
      </c>
      <c r="B90" s="1" t="s">
        <v>2367</v>
      </c>
      <c r="C90" s="1" t="s">
        <v>2368</v>
      </c>
      <c r="D90" s="1"/>
      <c r="E90" s="1" t="s">
        <v>2369</v>
      </c>
      <c r="F90" s="1" t="s">
        <v>2370</v>
      </c>
      <c r="G90" s="1" t="s">
        <v>1941</v>
      </c>
      <c r="H90" s="1">
        <v>89519.0</v>
      </c>
      <c r="I90" s="3" t="s">
        <v>1951</v>
      </c>
    </row>
    <row r="91" ht="15.75" customHeight="1">
      <c r="A91" s="1" t="s">
        <v>223</v>
      </c>
      <c r="B91" s="1" t="s">
        <v>2371</v>
      </c>
      <c r="C91" s="1" t="s">
        <v>2372</v>
      </c>
      <c r="D91" s="1" t="s">
        <v>2373</v>
      </c>
      <c r="E91" s="1" t="s">
        <v>2374</v>
      </c>
      <c r="F91" s="1" t="s">
        <v>2375</v>
      </c>
      <c r="G91" s="1" t="s">
        <v>1941</v>
      </c>
      <c r="H91" s="1">
        <v>64136.0</v>
      </c>
      <c r="I91" s="3" t="s">
        <v>1951</v>
      </c>
    </row>
    <row r="92" ht="15.75" customHeight="1">
      <c r="A92" s="1" t="s">
        <v>225</v>
      </c>
      <c r="B92" s="1" t="s">
        <v>2376</v>
      </c>
      <c r="C92" s="1"/>
      <c r="D92" s="1" t="s">
        <v>2377</v>
      </c>
      <c r="E92" s="1" t="s">
        <v>2378</v>
      </c>
      <c r="F92" s="1" t="s">
        <v>1948</v>
      </c>
      <c r="G92" s="1" t="s">
        <v>1949</v>
      </c>
      <c r="H92" s="1" t="s">
        <v>1950</v>
      </c>
      <c r="I92" s="3" t="s">
        <v>1942</v>
      </c>
    </row>
    <row r="93" ht="15.75" customHeight="1">
      <c r="A93" s="1" t="s">
        <v>227</v>
      </c>
      <c r="B93" s="1" t="s">
        <v>2379</v>
      </c>
      <c r="C93" s="1" t="s">
        <v>2380</v>
      </c>
      <c r="D93" s="1" t="s">
        <v>2381</v>
      </c>
      <c r="E93" s="1" t="s">
        <v>2382</v>
      </c>
      <c r="F93" s="1" t="s">
        <v>2383</v>
      </c>
      <c r="G93" s="1" t="s">
        <v>1941</v>
      </c>
      <c r="H93" s="1">
        <v>92878.0</v>
      </c>
      <c r="I93" s="3" t="s">
        <v>1951</v>
      </c>
    </row>
    <row r="94" ht="15.75" customHeight="1">
      <c r="A94" s="1" t="s">
        <v>229</v>
      </c>
      <c r="B94" s="1" t="s">
        <v>2384</v>
      </c>
      <c r="C94" s="1"/>
      <c r="D94" s="1" t="s">
        <v>2385</v>
      </c>
      <c r="E94" s="1" t="s">
        <v>2386</v>
      </c>
      <c r="F94" s="1" t="s">
        <v>2387</v>
      </c>
      <c r="G94" s="1" t="s">
        <v>1941</v>
      </c>
      <c r="H94" s="1">
        <v>78759.0</v>
      </c>
      <c r="I94" s="3" t="s">
        <v>1942</v>
      </c>
    </row>
    <row r="95" ht="15.75" customHeight="1">
      <c r="A95" s="1" t="s">
        <v>231</v>
      </c>
      <c r="B95" s="1" t="s">
        <v>2388</v>
      </c>
      <c r="C95" s="1" t="s">
        <v>2389</v>
      </c>
      <c r="D95" s="1" t="s">
        <v>2390</v>
      </c>
      <c r="E95" s="1" t="s">
        <v>2391</v>
      </c>
      <c r="F95" s="1" t="s">
        <v>2392</v>
      </c>
      <c r="G95" s="1" t="s">
        <v>2116</v>
      </c>
      <c r="H95" s="1" t="s">
        <v>2393</v>
      </c>
      <c r="I95" s="3" t="s">
        <v>1942</v>
      </c>
    </row>
    <row r="96" ht="15.75" customHeight="1">
      <c r="A96" s="1" t="s">
        <v>233</v>
      </c>
      <c r="B96" s="1" t="s">
        <v>2394</v>
      </c>
      <c r="C96" s="1"/>
      <c r="D96" s="1"/>
      <c r="E96" s="1" t="s">
        <v>2395</v>
      </c>
      <c r="F96" s="1" t="s">
        <v>2396</v>
      </c>
      <c r="G96" s="1" t="s">
        <v>1949</v>
      </c>
      <c r="H96" s="1" t="s">
        <v>2397</v>
      </c>
      <c r="I96" s="3" t="s">
        <v>1942</v>
      </c>
    </row>
    <row r="97" ht="15.75" customHeight="1">
      <c r="A97" s="1" t="s">
        <v>235</v>
      </c>
      <c r="B97" s="1" t="s">
        <v>2398</v>
      </c>
      <c r="C97" s="1" t="s">
        <v>2399</v>
      </c>
      <c r="D97" s="1"/>
      <c r="E97" s="1" t="s">
        <v>2400</v>
      </c>
      <c r="F97" s="1" t="s">
        <v>2355</v>
      </c>
      <c r="G97" s="1" t="s">
        <v>1941</v>
      </c>
      <c r="H97" s="1">
        <v>93762.0</v>
      </c>
      <c r="I97" s="3" t="s">
        <v>1951</v>
      </c>
    </row>
    <row r="98" ht="15.75" customHeight="1">
      <c r="A98" s="1" t="s">
        <v>237</v>
      </c>
      <c r="B98" s="1" t="s">
        <v>2401</v>
      </c>
      <c r="C98" s="1" t="s">
        <v>2402</v>
      </c>
      <c r="D98" s="1"/>
      <c r="E98" s="1" t="s">
        <v>2403</v>
      </c>
      <c r="F98" s="1" t="s">
        <v>2013</v>
      </c>
      <c r="G98" s="1" t="s">
        <v>1941</v>
      </c>
      <c r="H98" s="1">
        <v>63150.0</v>
      </c>
      <c r="I98" s="3" t="s">
        <v>1951</v>
      </c>
    </row>
    <row r="99" ht="15.75" customHeight="1">
      <c r="A99" s="1" t="s">
        <v>239</v>
      </c>
      <c r="B99" s="1" t="s">
        <v>2404</v>
      </c>
      <c r="C99" s="1" t="s">
        <v>2405</v>
      </c>
      <c r="D99" s="1" t="s">
        <v>2406</v>
      </c>
      <c r="E99" s="1" t="s">
        <v>2407</v>
      </c>
      <c r="F99" s="1" t="s">
        <v>2355</v>
      </c>
      <c r="G99" s="1" t="s">
        <v>1941</v>
      </c>
      <c r="H99" s="1">
        <v>93726.0</v>
      </c>
      <c r="I99" s="3" t="s">
        <v>1951</v>
      </c>
    </row>
    <row r="100" ht="15.75" customHeight="1">
      <c r="A100" s="1" t="s">
        <v>241</v>
      </c>
      <c r="B100" s="1" t="s">
        <v>2408</v>
      </c>
      <c r="C100" s="1"/>
      <c r="D100" s="1" t="s">
        <v>2409</v>
      </c>
      <c r="E100" s="1" t="s">
        <v>2410</v>
      </c>
      <c r="F100" s="1" t="s">
        <v>2411</v>
      </c>
      <c r="G100" s="1" t="s">
        <v>1949</v>
      </c>
      <c r="H100" s="1" t="s">
        <v>2412</v>
      </c>
      <c r="I100" s="3" t="s">
        <v>1951</v>
      </c>
    </row>
    <row r="101" ht="15.75" customHeight="1">
      <c r="A101" s="1" t="s">
        <v>243</v>
      </c>
      <c r="B101" s="1" t="s">
        <v>2413</v>
      </c>
      <c r="C101" s="1"/>
      <c r="D101" s="1" t="s">
        <v>2414</v>
      </c>
      <c r="E101" s="1" t="s">
        <v>2415</v>
      </c>
      <c r="F101" s="1" t="s">
        <v>2287</v>
      </c>
      <c r="G101" s="1" t="s">
        <v>1941</v>
      </c>
      <c r="H101" s="1">
        <v>43210.0</v>
      </c>
      <c r="I101" s="3" t="s">
        <v>1942</v>
      </c>
    </row>
    <row r="102" ht="15.75" customHeight="1">
      <c r="A102" s="1" t="s">
        <v>245</v>
      </c>
      <c r="B102" s="1" t="s">
        <v>2416</v>
      </c>
      <c r="C102" s="1"/>
      <c r="D102" s="1" t="s">
        <v>2417</v>
      </c>
      <c r="E102" s="1" t="s">
        <v>2418</v>
      </c>
      <c r="F102" s="1" t="s">
        <v>2419</v>
      </c>
      <c r="G102" s="1" t="s">
        <v>1941</v>
      </c>
      <c r="H102" s="1">
        <v>95205.0</v>
      </c>
      <c r="I102" s="3" t="s">
        <v>1942</v>
      </c>
    </row>
    <row r="103" ht="15.75" customHeight="1">
      <c r="A103" s="1" t="s">
        <v>247</v>
      </c>
      <c r="B103" s="1" t="s">
        <v>2420</v>
      </c>
      <c r="C103" s="1" t="s">
        <v>2421</v>
      </c>
      <c r="D103" s="1" t="s">
        <v>2422</v>
      </c>
      <c r="E103" s="1" t="s">
        <v>2423</v>
      </c>
      <c r="F103" s="1" t="s">
        <v>2424</v>
      </c>
      <c r="G103" s="1" t="s">
        <v>1949</v>
      </c>
      <c r="H103" s="1" t="s">
        <v>2425</v>
      </c>
      <c r="I103" s="3" t="s">
        <v>1942</v>
      </c>
    </row>
    <row r="104" ht="15.75" customHeight="1">
      <c r="A104" s="1" t="s">
        <v>249</v>
      </c>
      <c r="B104" s="1" t="s">
        <v>2426</v>
      </c>
      <c r="C104" s="1" t="s">
        <v>2427</v>
      </c>
      <c r="D104" s="1" t="s">
        <v>2428</v>
      </c>
      <c r="E104" s="1" t="s">
        <v>2429</v>
      </c>
      <c r="F104" s="1" t="s">
        <v>2430</v>
      </c>
      <c r="G104" s="1" t="s">
        <v>1949</v>
      </c>
      <c r="H104" s="1" t="s">
        <v>2412</v>
      </c>
      <c r="I104" s="3" t="s">
        <v>1942</v>
      </c>
    </row>
    <row r="105" ht="15.75" customHeight="1">
      <c r="A105" s="1" t="s">
        <v>251</v>
      </c>
      <c r="B105" s="1" t="s">
        <v>2431</v>
      </c>
      <c r="C105" s="1" t="s">
        <v>2432</v>
      </c>
      <c r="D105" s="1" t="s">
        <v>2433</v>
      </c>
      <c r="E105" s="1" t="s">
        <v>2434</v>
      </c>
      <c r="F105" s="1" t="s">
        <v>2163</v>
      </c>
      <c r="G105" s="1" t="s">
        <v>1941</v>
      </c>
      <c r="H105" s="1">
        <v>14652.0</v>
      </c>
      <c r="I105" s="3" t="s">
        <v>1951</v>
      </c>
    </row>
    <row r="106" ht="15.75" customHeight="1">
      <c r="A106" s="1" t="s">
        <v>253</v>
      </c>
      <c r="B106" s="1" t="s">
        <v>2435</v>
      </c>
      <c r="C106" s="1" t="s">
        <v>2436</v>
      </c>
      <c r="D106" s="1" t="s">
        <v>2437</v>
      </c>
      <c r="E106" s="1" t="s">
        <v>2438</v>
      </c>
      <c r="F106" s="1" t="s">
        <v>2439</v>
      </c>
      <c r="G106" s="1" t="s">
        <v>1941</v>
      </c>
      <c r="H106" s="1">
        <v>35487.0</v>
      </c>
      <c r="I106" s="3" t="s">
        <v>1951</v>
      </c>
    </row>
    <row r="107" ht="15.75" customHeight="1">
      <c r="A107" s="1" t="s">
        <v>255</v>
      </c>
      <c r="B107" s="1" t="s">
        <v>2440</v>
      </c>
      <c r="C107" s="1" t="s">
        <v>2441</v>
      </c>
      <c r="D107" s="1" t="s">
        <v>2442</v>
      </c>
      <c r="E107" s="1" t="s">
        <v>2443</v>
      </c>
      <c r="F107" s="1" t="s">
        <v>2027</v>
      </c>
      <c r="G107" s="1" t="s">
        <v>1941</v>
      </c>
      <c r="H107" s="1">
        <v>77260.0</v>
      </c>
      <c r="I107" s="3" t="s">
        <v>1942</v>
      </c>
    </row>
    <row r="108" ht="15.75" customHeight="1">
      <c r="A108" s="1" t="s">
        <v>257</v>
      </c>
      <c r="B108" s="1" t="s">
        <v>2444</v>
      </c>
      <c r="C108" s="1" t="s">
        <v>2445</v>
      </c>
      <c r="D108" s="1" t="s">
        <v>2446</v>
      </c>
      <c r="E108" s="1" t="s">
        <v>2447</v>
      </c>
      <c r="F108" s="1" t="s">
        <v>2448</v>
      </c>
      <c r="G108" s="1" t="s">
        <v>1941</v>
      </c>
      <c r="H108" s="1">
        <v>88514.0</v>
      </c>
      <c r="I108" s="3" t="s">
        <v>1951</v>
      </c>
    </row>
    <row r="109" ht="15.75" customHeight="1">
      <c r="A109" s="1" t="s">
        <v>260</v>
      </c>
      <c r="B109" s="1" t="s">
        <v>2449</v>
      </c>
      <c r="C109" s="1" t="s">
        <v>2450</v>
      </c>
      <c r="D109" s="1" t="s">
        <v>2451</v>
      </c>
      <c r="E109" s="1" t="s">
        <v>2452</v>
      </c>
      <c r="F109" s="1" t="s">
        <v>2340</v>
      </c>
      <c r="G109" s="1" t="s">
        <v>1941</v>
      </c>
      <c r="H109" s="1">
        <v>80935.0</v>
      </c>
      <c r="I109" s="3" t="s">
        <v>1942</v>
      </c>
    </row>
    <row r="110" ht="15.75" customHeight="1">
      <c r="A110" s="1" t="s">
        <v>262</v>
      </c>
      <c r="B110" s="1" t="s">
        <v>2453</v>
      </c>
      <c r="C110" s="1"/>
      <c r="D110" s="1" t="s">
        <v>2454</v>
      </c>
      <c r="E110" s="1" t="s">
        <v>2455</v>
      </c>
      <c r="F110" s="1" t="s">
        <v>2238</v>
      </c>
      <c r="G110" s="1" t="s">
        <v>1941</v>
      </c>
      <c r="H110" s="1">
        <v>46862.0</v>
      </c>
      <c r="I110" s="3" t="s">
        <v>1951</v>
      </c>
    </row>
    <row r="111" ht="15.75" customHeight="1">
      <c r="A111" s="1" t="s">
        <v>264</v>
      </c>
      <c r="B111" s="1" t="s">
        <v>2456</v>
      </c>
      <c r="C111" s="1" t="s">
        <v>2457</v>
      </c>
      <c r="D111" s="1" t="s">
        <v>2458</v>
      </c>
      <c r="E111" s="1" t="s">
        <v>2459</v>
      </c>
      <c r="F111" s="1" t="s">
        <v>2460</v>
      </c>
      <c r="G111" s="1" t="s">
        <v>1941</v>
      </c>
      <c r="H111" s="1">
        <v>11054.0</v>
      </c>
      <c r="I111" s="3" t="s">
        <v>1942</v>
      </c>
    </row>
    <row r="112" ht="15.75" customHeight="1">
      <c r="A112" s="1" t="s">
        <v>266</v>
      </c>
      <c r="B112" s="1" t="s">
        <v>2461</v>
      </c>
      <c r="C112" s="1" t="s">
        <v>2462</v>
      </c>
      <c r="D112" s="1" t="s">
        <v>2463</v>
      </c>
      <c r="E112" s="1" t="s">
        <v>2464</v>
      </c>
      <c r="F112" s="1" t="s">
        <v>1962</v>
      </c>
      <c r="G112" s="1" t="s">
        <v>1941</v>
      </c>
      <c r="H112" s="1">
        <v>1105.0</v>
      </c>
      <c r="I112" s="3" t="s">
        <v>1942</v>
      </c>
    </row>
    <row r="113" ht="15.75" customHeight="1">
      <c r="A113" s="1" t="s">
        <v>269</v>
      </c>
      <c r="B113" s="1" t="s">
        <v>2465</v>
      </c>
      <c r="C113" s="1" t="s">
        <v>2466</v>
      </c>
      <c r="D113" s="1"/>
      <c r="E113" s="1" t="s">
        <v>2467</v>
      </c>
      <c r="F113" s="1" t="s">
        <v>2225</v>
      </c>
      <c r="G113" s="1" t="s">
        <v>1941</v>
      </c>
      <c r="H113" s="1">
        <v>32575.0</v>
      </c>
      <c r="I113" s="3" t="s">
        <v>1951</v>
      </c>
    </row>
    <row r="114" ht="15.75" customHeight="1">
      <c r="A114" s="1" t="s">
        <v>271</v>
      </c>
      <c r="B114" s="1" t="s">
        <v>2468</v>
      </c>
      <c r="C114" s="1" t="s">
        <v>2469</v>
      </c>
      <c r="D114" s="1" t="s">
        <v>2470</v>
      </c>
      <c r="E114" s="1" t="s">
        <v>2471</v>
      </c>
      <c r="F114" s="1" t="s">
        <v>2004</v>
      </c>
      <c r="G114" s="1" t="s">
        <v>1941</v>
      </c>
      <c r="H114" s="1">
        <v>23242.0</v>
      </c>
      <c r="I114" s="3" t="s">
        <v>1951</v>
      </c>
    </row>
    <row r="115" ht="15.75" customHeight="1">
      <c r="A115" s="1" t="s">
        <v>273</v>
      </c>
      <c r="B115" s="1" t="s">
        <v>2472</v>
      </c>
      <c r="C115" s="1" t="s">
        <v>2473</v>
      </c>
      <c r="D115" s="1" t="s">
        <v>2474</v>
      </c>
      <c r="E115" s="1" t="s">
        <v>2475</v>
      </c>
      <c r="F115" s="1" t="s">
        <v>2476</v>
      </c>
      <c r="G115" s="1" t="s">
        <v>1949</v>
      </c>
      <c r="H115" s="1" t="s">
        <v>2477</v>
      </c>
      <c r="I115" s="3" t="s">
        <v>1951</v>
      </c>
    </row>
    <row r="116" ht="15.75" customHeight="1">
      <c r="A116" s="1" t="s">
        <v>275</v>
      </c>
      <c r="B116" s="1" t="s">
        <v>2478</v>
      </c>
      <c r="C116" s="1"/>
      <c r="D116" s="1" t="s">
        <v>2479</v>
      </c>
      <c r="E116" s="1" t="s">
        <v>2480</v>
      </c>
      <c r="F116" s="1" t="s">
        <v>2481</v>
      </c>
      <c r="G116" s="1" t="s">
        <v>1941</v>
      </c>
      <c r="H116" s="1">
        <v>25705.0</v>
      </c>
      <c r="I116" s="3" t="s">
        <v>1951</v>
      </c>
    </row>
    <row r="117" ht="15.75" customHeight="1">
      <c r="A117" s="1" t="s">
        <v>277</v>
      </c>
      <c r="B117" s="1" t="s">
        <v>2482</v>
      </c>
      <c r="C117" s="1" t="s">
        <v>2483</v>
      </c>
      <c r="D117" s="1" t="s">
        <v>2484</v>
      </c>
      <c r="E117" s="1" t="s">
        <v>2485</v>
      </c>
      <c r="F117" s="1" t="s">
        <v>2172</v>
      </c>
      <c r="G117" s="1" t="s">
        <v>2116</v>
      </c>
      <c r="H117" s="1" t="s">
        <v>2486</v>
      </c>
      <c r="I117" s="3" t="s">
        <v>1951</v>
      </c>
    </row>
    <row r="118" ht="15.75" customHeight="1">
      <c r="A118" s="1" t="s">
        <v>279</v>
      </c>
      <c r="B118" s="1" t="s">
        <v>2487</v>
      </c>
      <c r="C118" s="1" t="s">
        <v>2488</v>
      </c>
      <c r="D118" s="1" t="s">
        <v>2489</v>
      </c>
      <c r="E118" s="1" t="s">
        <v>2490</v>
      </c>
      <c r="F118" s="1" t="s">
        <v>2491</v>
      </c>
      <c r="G118" s="1" t="s">
        <v>1949</v>
      </c>
      <c r="H118" s="1" t="s">
        <v>2492</v>
      </c>
      <c r="I118" s="3" t="s">
        <v>1942</v>
      </c>
    </row>
    <row r="119" ht="15.75" customHeight="1">
      <c r="A119" s="1" t="s">
        <v>281</v>
      </c>
      <c r="B119" s="1" t="s">
        <v>2493</v>
      </c>
      <c r="C119" s="1" t="s">
        <v>2494</v>
      </c>
      <c r="D119" s="1" t="s">
        <v>2495</v>
      </c>
      <c r="E119" s="1" t="s">
        <v>2496</v>
      </c>
      <c r="F119" s="1" t="s">
        <v>1976</v>
      </c>
      <c r="G119" s="1" t="s">
        <v>1941</v>
      </c>
      <c r="H119" s="1">
        <v>45432.0</v>
      </c>
      <c r="I119" s="3" t="s">
        <v>1951</v>
      </c>
    </row>
    <row r="120" ht="15.75" customHeight="1">
      <c r="A120" s="1" t="s">
        <v>283</v>
      </c>
      <c r="B120" s="1" t="s">
        <v>2497</v>
      </c>
      <c r="C120" s="1" t="s">
        <v>2498</v>
      </c>
      <c r="D120" s="1" t="s">
        <v>2499</v>
      </c>
      <c r="E120" s="1" t="s">
        <v>2500</v>
      </c>
      <c r="F120" s="1" t="s">
        <v>2501</v>
      </c>
      <c r="G120" s="1" t="s">
        <v>1941</v>
      </c>
      <c r="H120" s="1">
        <v>99507.0</v>
      </c>
      <c r="I120" s="3" t="s">
        <v>1942</v>
      </c>
    </row>
    <row r="121" ht="15.75" customHeight="1">
      <c r="A121" s="1" t="s">
        <v>285</v>
      </c>
      <c r="B121" s="1" t="s">
        <v>2502</v>
      </c>
      <c r="C121" s="1" t="s">
        <v>2503</v>
      </c>
      <c r="D121" s="1" t="s">
        <v>2504</v>
      </c>
      <c r="E121" s="1" t="s">
        <v>2505</v>
      </c>
      <c r="F121" s="1" t="s">
        <v>2506</v>
      </c>
      <c r="G121" s="1" t="s">
        <v>1941</v>
      </c>
      <c r="H121" s="1">
        <v>37215.0</v>
      </c>
      <c r="I121" s="3" t="s">
        <v>1951</v>
      </c>
    </row>
    <row r="122" ht="15.75" customHeight="1">
      <c r="A122" s="1" t="s">
        <v>2507</v>
      </c>
      <c r="B122" s="1" t="s">
        <v>2508</v>
      </c>
      <c r="C122" s="1" t="s">
        <v>2509</v>
      </c>
      <c r="D122" s="1" t="s">
        <v>2510</v>
      </c>
      <c r="E122" s="1" t="s">
        <v>2511</v>
      </c>
      <c r="F122" s="1" t="s">
        <v>1986</v>
      </c>
      <c r="G122" s="1" t="s">
        <v>1941</v>
      </c>
      <c r="H122" s="1">
        <v>90040.0</v>
      </c>
      <c r="I122" s="3" t="s">
        <v>1942</v>
      </c>
    </row>
    <row r="123" ht="15.75" customHeight="1">
      <c r="A123" s="1" t="s">
        <v>2512</v>
      </c>
      <c r="B123" s="1" t="s">
        <v>2513</v>
      </c>
      <c r="C123" s="1" t="s">
        <v>2514</v>
      </c>
      <c r="D123" s="1" t="s">
        <v>2515</v>
      </c>
      <c r="E123" s="1" t="s">
        <v>2516</v>
      </c>
      <c r="F123" s="1" t="s">
        <v>2300</v>
      </c>
      <c r="G123" s="1" t="s">
        <v>1941</v>
      </c>
      <c r="H123" s="1">
        <v>28289.0</v>
      </c>
      <c r="I123" s="3" t="s">
        <v>1951</v>
      </c>
    </row>
    <row r="124" ht="15.75" customHeight="1">
      <c r="A124" s="1" t="s">
        <v>287</v>
      </c>
      <c r="B124" s="1" t="s">
        <v>2517</v>
      </c>
      <c r="C124" s="1" t="s">
        <v>2518</v>
      </c>
      <c r="D124" s="1" t="s">
        <v>2519</v>
      </c>
      <c r="E124" s="1" t="s">
        <v>2520</v>
      </c>
      <c r="F124" s="1" t="s">
        <v>2132</v>
      </c>
      <c r="G124" s="1" t="s">
        <v>1941</v>
      </c>
      <c r="H124" s="1">
        <v>80217.0</v>
      </c>
      <c r="I124" s="3" t="s">
        <v>1942</v>
      </c>
    </row>
    <row r="125" ht="15.75" customHeight="1">
      <c r="A125" s="1" t="s">
        <v>289</v>
      </c>
      <c r="B125" s="1" t="s">
        <v>2521</v>
      </c>
      <c r="C125" s="1" t="s">
        <v>2522</v>
      </c>
      <c r="D125" s="1" t="s">
        <v>2523</v>
      </c>
      <c r="E125" s="1" t="s">
        <v>2524</v>
      </c>
      <c r="F125" s="1" t="s">
        <v>2525</v>
      </c>
      <c r="G125" s="1" t="s">
        <v>1941</v>
      </c>
      <c r="H125" s="1">
        <v>6912.0</v>
      </c>
      <c r="I125" s="3" t="s">
        <v>1951</v>
      </c>
    </row>
    <row r="126" ht="15.75" customHeight="1">
      <c r="A126" s="1" t="s">
        <v>291</v>
      </c>
      <c r="B126" s="1" t="s">
        <v>2526</v>
      </c>
      <c r="C126" s="1" t="s">
        <v>2527</v>
      </c>
      <c r="D126" s="1" t="s">
        <v>2528</v>
      </c>
      <c r="E126" s="1" t="s">
        <v>2529</v>
      </c>
      <c r="F126" s="1" t="s">
        <v>2530</v>
      </c>
      <c r="G126" s="1" t="s">
        <v>1941</v>
      </c>
      <c r="H126" s="1">
        <v>23605.0</v>
      </c>
      <c r="I126" s="3" t="s">
        <v>1942</v>
      </c>
    </row>
    <row r="127" ht="15.75" customHeight="1">
      <c r="A127" s="1" t="s">
        <v>293</v>
      </c>
      <c r="B127" s="1" t="s">
        <v>2531</v>
      </c>
      <c r="C127" s="1" t="s">
        <v>2532</v>
      </c>
      <c r="D127" s="1" t="s">
        <v>2533</v>
      </c>
      <c r="E127" s="1" t="s">
        <v>2534</v>
      </c>
      <c r="F127" s="1" t="s">
        <v>2535</v>
      </c>
      <c r="G127" s="1" t="s">
        <v>1949</v>
      </c>
      <c r="H127" s="1" t="s">
        <v>2536</v>
      </c>
      <c r="I127" s="3" t="s">
        <v>1942</v>
      </c>
    </row>
    <row r="128" ht="15.75" customHeight="1">
      <c r="A128" s="1" t="s">
        <v>295</v>
      </c>
      <c r="B128" s="1" t="s">
        <v>2537</v>
      </c>
      <c r="C128" s="1" t="s">
        <v>2538</v>
      </c>
      <c r="D128" s="1" t="s">
        <v>2539</v>
      </c>
      <c r="E128" s="1" t="s">
        <v>2540</v>
      </c>
      <c r="F128" s="1" t="s">
        <v>2501</v>
      </c>
      <c r="G128" s="1" t="s">
        <v>1941</v>
      </c>
      <c r="H128" s="1">
        <v>99599.0</v>
      </c>
      <c r="I128" s="3" t="s">
        <v>1951</v>
      </c>
    </row>
    <row r="129" ht="15.75" customHeight="1">
      <c r="A129" s="1" t="s">
        <v>297</v>
      </c>
      <c r="B129" s="1" t="s">
        <v>2541</v>
      </c>
      <c r="C129" s="1" t="s">
        <v>2542</v>
      </c>
      <c r="D129" s="1" t="s">
        <v>2543</v>
      </c>
      <c r="E129" s="1" t="s">
        <v>2544</v>
      </c>
      <c r="F129" s="1" t="s">
        <v>2366</v>
      </c>
      <c r="G129" s="1" t="s">
        <v>1949</v>
      </c>
      <c r="H129" s="1" t="s">
        <v>2545</v>
      </c>
      <c r="I129" s="3" t="s">
        <v>1951</v>
      </c>
    </row>
    <row r="130" ht="15.75" customHeight="1">
      <c r="A130" s="1" t="s">
        <v>299</v>
      </c>
      <c r="B130" s="1" t="s">
        <v>2546</v>
      </c>
      <c r="C130" s="1" t="s">
        <v>2547</v>
      </c>
      <c r="D130" s="1" t="s">
        <v>2548</v>
      </c>
      <c r="E130" s="1" t="s">
        <v>2549</v>
      </c>
      <c r="F130" s="1" t="s">
        <v>2550</v>
      </c>
      <c r="G130" s="1" t="s">
        <v>1941</v>
      </c>
      <c r="H130" s="1">
        <v>58122.0</v>
      </c>
      <c r="I130" s="3" t="s">
        <v>1951</v>
      </c>
    </row>
    <row r="131" ht="15.75" customHeight="1">
      <c r="A131" s="1" t="s">
        <v>301</v>
      </c>
      <c r="B131" s="1" t="s">
        <v>2551</v>
      </c>
      <c r="C131" s="1" t="s">
        <v>2552</v>
      </c>
      <c r="D131" s="1" t="s">
        <v>2553</v>
      </c>
      <c r="E131" s="1" t="s">
        <v>2554</v>
      </c>
      <c r="F131" s="1" t="s">
        <v>2555</v>
      </c>
      <c r="G131" s="1" t="s">
        <v>1941</v>
      </c>
      <c r="H131" s="1">
        <v>47737.0</v>
      </c>
      <c r="I131" s="3" t="s">
        <v>1942</v>
      </c>
    </row>
    <row r="132" ht="15.75" customHeight="1">
      <c r="A132" s="1" t="s">
        <v>303</v>
      </c>
      <c r="B132" s="1" t="s">
        <v>2556</v>
      </c>
      <c r="C132" s="1"/>
      <c r="D132" s="1" t="s">
        <v>2557</v>
      </c>
      <c r="E132" s="1" t="s">
        <v>2558</v>
      </c>
      <c r="F132" s="1" t="s">
        <v>2476</v>
      </c>
      <c r="G132" s="1" t="s">
        <v>1949</v>
      </c>
      <c r="H132" s="1" t="s">
        <v>2477</v>
      </c>
      <c r="I132" s="3" t="s">
        <v>1942</v>
      </c>
    </row>
    <row r="133" ht="15.75" customHeight="1">
      <c r="A133" s="1" t="s">
        <v>305</v>
      </c>
      <c r="B133" s="1" t="s">
        <v>2559</v>
      </c>
      <c r="C133" s="1" t="s">
        <v>2560</v>
      </c>
      <c r="D133" s="1" t="s">
        <v>2561</v>
      </c>
      <c r="E133" s="1" t="s">
        <v>2562</v>
      </c>
      <c r="F133" s="1" t="s">
        <v>2300</v>
      </c>
      <c r="G133" s="1" t="s">
        <v>1941</v>
      </c>
      <c r="H133" s="1">
        <v>28210.0</v>
      </c>
      <c r="I133" s="3" t="s">
        <v>1942</v>
      </c>
    </row>
    <row r="134" ht="15.75" customHeight="1">
      <c r="A134" s="1" t="s">
        <v>307</v>
      </c>
      <c r="B134" s="1" t="s">
        <v>2563</v>
      </c>
      <c r="C134" s="1" t="s">
        <v>2564</v>
      </c>
      <c r="D134" s="1" t="s">
        <v>2565</v>
      </c>
      <c r="E134" s="1" t="s">
        <v>2566</v>
      </c>
      <c r="F134" s="1" t="s">
        <v>2567</v>
      </c>
      <c r="G134" s="1" t="s">
        <v>1941</v>
      </c>
      <c r="H134" s="1">
        <v>35815.0</v>
      </c>
      <c r="I134" s="3" t="s">
        <v>1942</v>
      </c>
    </row>
    <row r="135" ht="15.75" customHeight="1">
      <c r="A135" s="1" t="s">
        <v>309</v>
      </c>
      <c r="B135" s="1" t="s">
        <v>2568</v>
      </c>
      <c r="C135" s="1" t="s">
        <v>2569</v>
      </c>
      <c r="D135" s="1" t="s">
        <v>2570</v>
      </c>
      <c r="E135" s="1" t="s">
        <v>2571</v>
      </c>
      <c r="F135" s="1" t="s">
        <v>2572</v>
      </c>
      <c r="G135" s="1" t="s">
        <v>1941</v>
      </c>
      <c r="H135" s="1">
        <v>92725.0</v>
      </c>
      <c r="I135" s="3" t="s">
        <v>1951</v>
      </c>
    </row>
    <row r="136" ht="15.75" customHeight="1">
      <c r="A136" s="1" t="s">
        <v>311</v>
      </c>
      <c r="B136" s="1" t="s">
        <v>2573</v>
      </c>
      <c r="C136" s="1"/>
      <c r="D136" s="1"/>
      <c r="E136" s="1" t="s">
        <v>2574</v>
      </c>
      <c r="F136" s="1" t="s">
        <v>2186</v>
      </c>
      <c r="G136" s="1" t="s">
        <v>1941</v>
      </c>
      <c r="H136" s="1">
        <v>20520.0</v>
      </c>
      <c r="I136" s="3" t="s">
        <v>1942</v>
      </c>
    </row>
    <row r="137" ht="15.75" customHeight="1">
      <c r="A137" s="1" t="s">
        <v>2575</v>
      </c>
      <c r="B137" s="1" t="s">
        <v>2576</v>
      </c>
      <c r="C137" s="1" t="s">
        <v>2577</v>
      </c>
      <c r="D137" s="1" t="s">
        <v>2578</v>
      </c>
      <c r="E137" s="1" t="s">
        <v>2579</v>
      </c>
      <c r="F137" s="1" t="s">
        <v>2580</v>
      </c>
      <c r="G137" s="1" t="s">
        <v>1949</v>
      </c>
      <c r="H137" s="1" t="s">
        <v>2581</v>
      </c>
      <c r="I137" s="3" t="s">
        <v>1951</v>
      </c>
    </row>
    <row r="138" ht="15.75" customHeight="1">
      <c r="A138" s="1" t="s">
        <v>315</v>
      </c>
      <c r="B138" s="1" t="s">
        <v>2582</v>
      </c>
      <c r="C138" s="1" t="s">
        <v>2583</v>
      </c>
      <c r="D138" s="1" t="s">
        <v>2584</v>
      </c>
      <c r="E138" s="1" t="s">
        <v>2585</v>
      </c>
      <c r="F138" s="1" t="s">
        <v>2013</v>
      </c>
      <c r="G138" s="1" t="s">
        <v>1941</v>
      </c>
      <c r="H138" s="1">
        <v>63131.0</v>
      </c>
      <c r="I138" s="3" t="s">
        <v>1951</v>
      </c>
    </row>
    <row r="139" ht="15.75" customHeight="1">
      <c r="A139" s="1" t="s">
        <v>317</v>
      </c>
      <c r="B139" s="1" t="s">
        <v>2586</v>
      </c>
      <c r="C139" s="1"/>
      <c r="D139" s="1" t="s">
        <v>2587</v>
      </c>
      <c r="E139" s="1" t="s">
        <v>2588</v>
      </c>
      <c r="F139" s="1" t="s">
        <v>2105</v>
      </c>
      <c r="G139" s="1" t="s">
        <v>1949</v>
      </c>
      <c r="H139" s="1" t="s">
        <v>2106</v>
      </c>
      <c r="I139" s="3" t="s">
        <v>1951</v>
      </c>
    </row>
    <row r="140" ht="15.75" customHeight="1">
      <c r="A140" s="1" t="s">
        <v>319</v>
      </c>
      <c r="B140" s="1" t="s">
        <v>2589</v>
      </c>
      <c r="C140" s="1"/>
      <c r="D140" s="1" t="s">
        <v>2590</v>
      </c>
      <c r="E140" s="1" t="s">
        <v>2591</v>
      </c>
      <c r="F140" s="1" t="s">
        <v>2592</v>
      </c>
      <c r="G140" s="1" t="s">
        <v>1941</v>
      </c>
      <c r="H140" s="1">
        <v>96805.0</v>
      </c>
      <c r="I140" s="3" t="s">
        <v>1951</v>
      </c>
    </row>
    <row r="141" ht="15.75" customHeight="1">
      <c r="A141" s="1" t="s">
        <v>321</v>
      </c>
      <c r="B141" s="1" t="s">
        <v>2593</v>
      </c>
      <c r="C141" s="1"/>
      <c r="D141" s="1" t="s">
        <v>2594</v>
      </c>
      <c r="E141" s="1" t="s">
        <v>2595</v>
      </c>
      <c r="F141" s="1" t="s">
        <v>2383</v>
      </c>
      <c r="G141" s="1" t="s">
        <v>1941</v>
      </c>
      <c r="H141" s="1">
        <v>92878.0</v>
      </c>
      <c r="I141" s="3" t="s">
        <v>1942</v>
      </c>
    </row>
    <row r="142" ht="15.75" customHeight="1">
      <c r="A142" s="1" t="s">
        <v>323</v>
      </c>
      <c r="B142" s="1" t="s">
        <v>2596</v>
      </c>
      <c r="C142" s="1" t="s">
        <v>2597</v>
      </c>
      <c r="D142" s="1" t="s">
        <v>2598</v>
      </c>
      <c r="E142" s="1" t="s">
        <v>2599</v>
      </c>
      <c r="F142" s="1" t="s">
        <v>2600</v>
      </c>
      <c r="G142" s="1" t="s">
        <v>1949</v>
      </c>
      <c r="H142" s="1" t="s">
        <v>2545</v>
      </c>
      <c r="I142" s="3" t="s">
        <v>1942</v>
      </c>
    </row>
    <row r="143" ht="15.75" customHeight="1">
      <c r="A143" s="1" t="s">
        <v>325</v>
      </c>
      <c r="B143" s="1" t="s">
        <v>2601</v>
      </c>
      <c r="C143" s="1" t="s">
        <v>2602</v>
      </c>
      <c r="D143" s="1" t="s">
        <v>2603</v>
      </c>
      <c r="E143" s="1" t="s">
        <v>2604</v>
      </c>
      <c r="F143" s="1" t="s">
        <v>2186</v>
      </c>
      <c r="G143" s="1" t="s">
        <v>1941</v>
      </c>
      <c r="H143" s="1">
        <v>20520.0</v>
      </c>
      <c r="I143" s="3" t="s">
        <v>1942</v>
      </c>
    </row>
    <row r="144" ht="15.75" customHeight="1">
      <c r="A144" s="1" t="s">
        <v>327</v>
      </c>
      <c r="B144" s="1" t="s">
        <v>2605</v>
      </c>
      <c r="C144" s="1"/>
      <c r="D144" s="1"/>
      <c r="E144" s="1" t="s">
        <v>2606</v>
      </c>
      <c r="F144" s="1" t="s">
        <v>2607</v>
      </c>
      <c r="G144" s="1" t="s">
        <v>1949</v>
      </c>
      <c r="H144" s="1" t="s">
        <v>2310</v>
      </c>
      <c r="I144" s="3" t="s">
        <v>1942</v>
      </c>
    </row>
    <row r="145" ht="15.75" customHeight="1">
      <c r="A145" s="1" t="s">
        <v>329</v>
      </c>
      <c r="B145" s="1" t="s">
        <v>2608</v>
      </c>
      <c r="C145" s="1" t="s">
        <v>2609</v>
      </c>
      <c r="D145" s="1" t="s">
        <v>2610</v>
      </c>
      <c r="E145" s="1" t="s">
        <v>2611</v>
      </c>
      <c r="F145" s="1" t="s">
        <v>2027</v>
      </c>
      <c r="G145" s="1" t="s">
        <v>1941</v>
      </c>
      <c r="H145" s="1">
        <v>77281.0</v>
      </c>
      <c r="I145" s="3" t="s">
        <v>1951</v>
      </c>
    </row>
    <row r="146" ht="15.75" customHeight="1">
      <c r="A146" s="1" t="s">
        <v>331</v>
      </c>
      <c r="B146" s="1" t="s">
        <v>2612</v>
      </c>
      <c r="C146" s="1" t="s">
        <v>2613</v>
      </c>
      <c r="D146" s="1" t="s">
        <v>2614</v>
      </c>
      <c r="E146" s="1" t="s">
        <v>2615</v>
      </c>
      <c r="F146" s="1" t="s">
        <v>2616</v>
      </c>
      <c r="G146" s="1" t="s">
        <v>1941</v>
      </c>
      <c r="H146" s="1">
        <v>92668.0</v>
      </c>
      <c r="I146" s="3" t="s">
        <v>1942</v>
      </c>
    </row>
    <row r="147" ht="15.75" customHeight="1">
      <c r="A147" s="1" t="s">
        <v>333</v>
      </c>
      <c r="B147" s="1" t="s">
        <v>2617</v>
      </c>
      <c r="C147" s="1" t="s">
        <v>2618</v>
      </c>
      <c r="D147" s="1" t="s">
        <v>2619</v>
      </c>
      <c r="E147" s="1" t="s">
        <v>2620</v>
      </c>
      <c r="F147" s="1" t="s">
        <v>2448</v>
      </c>
      <c r="G147" s="1" t="s">
        <v>1941</v>
      </c>
      <c r="H147" s="1">
        <v>88553.0</v>
      </c>
      <c r="I147" s="3" t="s">
        <v>1951</v>
      </c>
    </row>
    <row r="148" ht="15.75" customHeight="1">
      <c r="A148" s="1" t="s">
        <v>335</v>
      </c>
      <c r="B148" s="1" t="s">
        <v>2621</v>
      </c>
      <c r="C148" s="1" t="s">
        <v>2622</v>
      </c>
      <c r="D148" s="1" t="s">
        <v>2623</v>
      </c>
      <c r="E148" s="1" t="s">
        <v>2624</v>
      </c>
      <c r="F148" s="1" t="s">
        <v>2625</v>
      </c>
      <c r="G148" s="1" t="s">
        <v>1941</v>
      </c>
      <c r="H148" s="1">
        <v>89714.0</v>
      </c>
      <c r="I148" s="3" t="s">
        <v>1951</v>
      </c>
    </row>
    <row r="149" ht="15.75" customHeight="1">
      <c r="A149" s="1" t="s">
        <v>2626</v>
      </c>
      <c r="B149" s="1" t="s">
        <v>2627</v>
      </c>
      <c r="C149" s="1" t="s">
        <v>2628</v>
      </c>
      <c r="D149" s="1" t="s">
        <v>2629</v>
      </c>
      <c r="E149" s="1" t="s">
        <v>2630</v>
      </c>
      <c r="F149" s="1" t="s">
        <v>2266</v>
      </c>
      <c r="G149" s="1" t="s">
        <v>1941</v>
      </c>
      <c r="H149" s="1">
        <v>76105.0</v>
      </c>
      <c r="I149" s="3" t="s">
        <v>1942</v>
      </c>
    </row>
    <row r="150" ht="15.75" customHeight="1">
      <c r="A150" s="1" t="s">
        <v>337</v>
      </c>
      <c r="B150" s="1" t="s">
        <v>2631</v>
      </c>
      <c r="C150" s="1" t="s">
        <v>2632</v>
      </c>
      <c r="D150" s="1" t="s">
        <v>2633</v>
      </c>
      <c r="E150" s="1" t="s">
        <v>2634</v>
      </c>
      <c r="F150" s="1" t="s">
        <v>2206</v>
      </c>
      <c r="G150" s="1" t="s">
        <v>1941</v>
      </c>
      <c r="H150" s="1">
        <v>84605.0</v>
      </c>
      <c r="I150" s="3" t="s">
        <v>1942</v>
      </c>
    </row>
    <row r="151" ht="15.75" customHeight="1">
      <c r="A151" s="1" t="s">
        <v>339</v>
      </c>
      <c r="B151" s="1" t="s">
        <v>2635</v>
      </c>
      <c r="C151" s="1"/>
      <c r="D151" s="1" t="s">
        <v>2636</v>
      </c>
      <c r="E151" s="1" t="s">
        <v>2637</v>
      </c>
      <c r="F151" s="1" t="s">
        <v>2638</v>
      </c>
      <c r="G151" s="1" t="s">
        <v>1941</v>
      </c>
      <c r="H151" s="1">
        <v>33487.0</v>
      </c>
      <c r="I151" s="3" t="s">
        <v>1942</v>
      </c>
    </row>
    <row r="152" ht="15.75" customHeight="1">
      <c r="A152" s="1" t="s">
        <v>341</v>
      </c>
      <c r="B152" s="1" t="s">
        <v>2639</v>
      </c>
      <c r="C152" s="1" t="s">
        <v>2640</v>
      </c>
      <c r="D152" s="1" t="s">
        <v>2641</v>
      </c>
      <c r="E152" s="1" t="s">
        <v>2642</v>
      </c>
      <c r="F152" s="1" t="s">
        <v>2643</v>
      </c>
      <c r="G152" s="1" t="s">
        <v>1941</v>
      </c>
      <c r="H152" s="1">
        <v>24040.0</v>
      </c>
      <c r="I152" s="3" t="s">
        <v>1942</v>
      </c>
    </row>
    <row r="153" ht="15.75" customHeight="1">
      <c r="A153" s="1" t="s">
        <v>343</v>
      </c>
      <c r="B153" s="1" t="s">
        <v>2644</v>
      </c>
      <c r="C153" s="1"/>
      <c r="D153" s="1" t="s">
        <v>2645</v>
      </c>
      <c r="E153" s="1" t="s">
        <v>2646</v>
      </c>
      <c r="F153" s="1" t="s">
        <v>2647</v>
      </c>
      <c r="G153" s="1" t="s">
        <v>1941</v>
      </c>
      <c r="H153" s="1">
        <v>50369.0</v>
      </c>
      <c r="I153" s="3" t="s">
        <v>1942</v>
      </c>
    </row>
    <row r="154" ht="15.75" customHeight="1">
      <c r="A154" s="1" t="s">
        <v>345</v>
      </c>
      <c r="B154" s="1" t="s">
        <v>2648</v>
      </c>
      <c r="C154" s="1" t="s">
        <v>2649</v>
      </c>
      <c r="D154" s="1" t="s">
        <v>2650</v>
      </c>
      <c r="E154" s="1" t="s">
        <v>2651</v>
      </c>
      <c r="F154" s="1" t="s">
        <v>2592</v>
      </c>
      <c r="G154" s="1" t="s">
        <v>1941</v>
      </c>
      <c r="H154" s="1">
        <v>96805.0</v>
      </c>
      <c r="I154" s="3" t="s">
        <v>1942</v>
      </c>
    </row>
    <row r="155" ht="15.75" customHeight="1">
      <c r="A155" s="1" t="s">
        <v>347</v>
      </c>
      <c r="B155" s="1" t="s">
        <v>2652</v>
      </c>
      <c r="C155" s="1"/>
      <c r="D155" s="1" t="s">
        <v>2653</v>
      </c>
      <c r="E155" s="1" t="s">
        <v>2654</v>
      </c>
      <c r="F155" s="1" t="s">
        <v>2191</v>
      </c>
      <c r="G155" s="1" t="s">
        <v>1941</v>
      </c>
      <c r="H155" s="1">
        <v>33345.0</v>
      </c>
      <c r="I155" s="3" t="s">
        <v>1951</v>
      </c>
    </row>
    <row r="156" ht="15.75" customHeight="1">
      <c r="A156" s="1" t="s">
        <v>349</v>
      </c>
      <c r="B156" s="1" t="s">
        <v>2655</v>
      </c>
      <c r="C156" s="1" t="s">
        <v>2656</v>
      </c>
      <c r="D156" s="1" t="s">
        <v>2657</v>
      </c>
      <c r="E156" s="1" t="s">
        <v>2658</v>
      </c>
      <c r="F156" s="1" t="s">
        <v>2017</v>
      </c>
      <c r="G156" s="1" t="s">
        <v>1941</v>
      </c>
      <c r="H156" s="1">
        <v>19172.0</v>
      </c>
      <c r="I156" s="3" t="s">
        <v>1951</v>
      </c>
    </row>
    <row r="157" ht="15.75" customHeight="1">
      <c r="A157" s="1" t="s">
        <v>351</v>
      </c>
      <c r="B157" s="1" t="s">
        <v>2659</v>
      </c>
      <c r="C157" s="1" t="s">
        <v>2660</v>
      </c>
      <c r="D157" s="1" t="s">
        <v>2661</v>
      </c>
      <c r="E157" s="1" t="s">
        <v>2662</v>
      </c>
      <c r="F157" s="1" t="s">
        <v>2663</v>
      </c>
      <c r="G157" s="1" t="s">
        <v>1941</v>
      </c>
      <c r="H157" s="1">
        <v>6854.0</v>
      </c>
      <c r="I157" s="3" t="s">
        <v>1942</v>
      </c>
    </row>
    <row r="158" ht="15.75" customHeight="1">
      <c r="A158" s="1" t="s">
        <v>353</v>
      </c>
      <c r="B158" s="1" t="s">
        <v>2664</v>
      </c>
      <c r="C158" s="1" t="s">
        <v>2665</v>
      </c>
      <c r="D158" s="1" t="s">
        <v>2666</v>
      </c>
      <c r="E158" s="1" t="s">
        <v>2667</v>
      </c>
      <c r="F158" s="1" t="s">
        <v>2668</v>
      </c>
      <c r="G158" s="1" t="s">
        <v>1941</v>
      </c>
      <c r="H158" s="1">
        <v>76011.0</v>
      </c>
      <c r="I158" s="3" t="s">
        <v>1942</v>
      </c>
    </row>
    <row r="159" ht="15.75" customHeight="1">
      <c r="A159" s="1" t="s">
        <v>355</v>
      </c>
      <c r="B159" s="1" t="s">
        <v>2669</v>
      </c>
      <c r="C159" s="1" t="s">
        <v>2670</v>
      </c>
      <c r="D159" s="1" t="s">
        <v>2671</v>
      </c>
      <c r="E159" s="1" t="s">
        <v>2672</v>
      </c>
      <c r="F159" s="1" t="s">
        <v>2673</v>
      </c>
      <c r="G159" s="1" t="s">
        <v>1949</v>
      </c>
      <c r="H159" s="1" t="s">
        <v>2674</v>
      </c>
      <c r="I159" s="3" t="s">
        <v>1951</v>
      </c>
    </row>
    <row r="160" ht="15.75" customHeight="1">
      <c r="A160" s="1" t="s">
        <v>357</v>
      </c>
      <c r="B160" s="1" t="s">
        <v>2675</v>
      </c>
      <c r="C160" s="1"/>
      <c r="D160" s="1" t="s">
        <v>2676</v>
      </c>
      <c r="E160" s="1" t="s">
        <v>2677</v>
      </c>
      <c r="F160" s="1" t="s">
        <v>2678</v>
      </c>
      <c r="G160" s="1" t="s">
        <v>1941</v>
      </c>
      <c r="H160" s="1">
        <v>37416.0</v>
      </c>
      <c r="I160" s="3" t="s">
        <v>1942</v>
      </c>
    </row>
    <row r="161" ht="15.75" customHeight="1">
      <c r="A161" s="1" t="s">
        <v>359</v>
      </c>
      <c r="B161" s="1" t="s">
        <v>2679</v>
      </c>
      <c r="C161" s="1"/>
      <c r="D161" s="1" t="s">
        <v>2680</v>
      </c>
      <c r="E161" s="1" t="s">
        <v>2681</v>
      </c>
      <c r="F161" s="1" t="s">
        <v>2022</v>
      </c>
      <c r="G161" s="1" t="s">
        <v>1941</v>
      </c>
      <c r="H161" s="1">
        <v>97296.0</v>
      </c>
      <c r="I161" s="3" t="s">
        <v>1951</v>
      </c>
    </row>
    <row r="162" ht="15.75" customHeight="1">
      <c r="A162" s="1" t="s">
        <v>361</v>
      </c>
      <c r="B162" s="1" t="s">
        <v>2682</v>
      </c>
      <c r="C162" s="1" t="s">
        <v>2683</v>
      </c>
      <c r="D162" s="1" t="s">
        <v>2684</v>
      </c>
      <c r="E162" s="1" t="s">
        <v>2685</v>
      </c>
      <c r="F162" s="1" t="s">
        <v>2362</v>
      </c>
      <c r="G162" s="1" t="s">
        <v>1941</v>
      </c>
      <c r="H162" s="1">
        <v>73135.0</v>
      </c>
      <c r="I162" s="3" t="s">
        <v>1951</v>
      </c>
    </row>
    <row r="163" ht="15.75" customHeight="1">
      <c r="A163" s="1" t="s">
        <v>363</v>
      </c>
      <c r="B163" s="1" t="s">
        <v>2686</v>
      </c>
      <c r="C163" s="1" t="s">
        <v>2687</v>
      </c>
      <c r="D163" s="1" t="s">
        <v>2688</v>
      </c>
      <c r="E163" s="1" t="s">
        <v>2689</v>
      </c>
      <c r="F163" s="1" t="s">
        <v>2186</v>
      </c>
      <c r="G163" s="1" t="s">
        <v>1941</v>
      </c>
      <c r="H163" s="1">
        <v>20520.0</v>
      </c>
      <c r="I163" s="3" t="s">
        <v>1951</v>
      </c>
    </row>
    <row r="164" ht="15.75" customHeight="1">
      <c r="A164" s="1" t="s">
        <v>365</v>
      </c>
      <c r="B164" s="1" t="s">
        <v>2690</v>
      </c>
      <c r="C164" s="1" t="s">
        <v>2691</v>
      </c>
      <c r="D164" s="1" t="s">
        <v>2692</v>
      </c>
      <c r="E164" s="1" t="s">
        <v>2693</v>
      </c>
      <c r="F164" s="1" t="s">
        <v>2694</v>
      </c>
      <c r="G164" s="1" t="s">
        <v>1941</v>
      </c>
      <c r="H164" s="1">
        <v>27415.0</v>
      </c>
      <c r="I164" s="3" t="s">
        <v>1942</v>
      </c>
    </row>
    <row r="165" ht="15.75" customHeight="1">
      <c r="A165" s="1" t="s">
        <v>367</v>
      </c>
      <c r="B165" s="1" t="s">
        <v>2695</v>
      </c>
      <c r="C165" s="1" t="s">
        <v>2696</v>
      </c>
      <c r="D165" s="1" t="s">
        <v>2697</v>
      </c>
      <c r="E165" s="1" t="s">
        <v>2698</v>
      </c>
      <c r="F165" s="1" t="s">
        <v>2699</v>
      </c>
      <c r="G165" s="1" t="s">
        <v>1941</v>
      </c>
      <c r="H165" s="1">
        <v>22313.0</v>
      </c>
      <c r="I165" s="3" t="s">
        <v>1951</v>
      </c>
    </row>
    <row r="166" ht="15.75" customHeight="1">
      <c r="A166" s="1" t="s">
        <v>369</v>
      </c>
      <c r="B166" s="1" t="s">
        <v>2700</v>
      </c>
      <c r="C166" s="1" t="s">
        <v>2701</v>
      </c>
      <c r="D166" s="1" t="s">
        <v>2702</v>
      </c>
      <c r="E166" s="1" t="s">
        <v>2703</v>
      </c>
      <c r="F166" s="1" t="s">
        <v>2704</v>
      </c>
      <c r="G166" s="1" t="s">
        <v>1949</v>
      </c>
      <c r="H166" s="1" t="s">
        <v>2705</v>
      </c>
      <c r="I166" s="3" t="s">
        <v>1951</v>
      </c>
    </row>
    <row r="167" ht="15.75" customHeight="1">
      <c r="A167" s="1" t="s">
        <v>371</v>
      </c>
      <c r="B167" s="1" t="s">
        <v>2706</v>
      </c>
      <c r="C167" s="1"/>
      <c r="D167" s="1" t="s">
        <v>2707</v>
      </c>
      <c r="E167" s="1" t="s">
        <v>2708</v>
      </c>
      <c r="F167" s="1" t="s">
        <v>2709</v>
      </c>
      <c r="G167" s="1" t="s">
        <v>1941</v>
      </c>
      <c r="H167" s="1">
        <v>53405.0</v>
      </c>
      <c r="I167" s="3" t="s">
        <v>1942</v>
      </c>
    </row>
    <row r="168" ht="15.75" customHeight="1">
      <c r="A168" s="1" t="s">
        <v>373</v>
      </c>
      <c r="B168" s="1" t="s">
        <v>2710</v>
      </c>
      <c r="C168" s="1"/>
      <c r="D168" s="1" t="s">
        <v>2711</v>
      </c>
      <c r="E168" s="1" t="s">
        <v>2712</v>
      </c>
      <c r="F168" s="1" t="s">
        <v>2713</v>
      </c>
      <c r="G168" s="1" t="s">
        <v>1941</v>
      </c>
      <c r="H168" s="1">
        <v>34629.0</v>
      </c>
      <c r="I168" s="3" t="s">
        <v>1942</v>
      </c>
    </row>
    <row r="169" ht="15.75" customHeight="1">
      <c r="A169" s="1" t="s">
        <v>375</v>
      </c>
      <c r="B169" s="1" t="s">
        <v>2714</v>
      </c>
      <c r="C169" s="1" t="s">
        <v>2715</v>
      </c>
      <c r="D169" s="1" t="s">
        <v>2716</v>
      </c>
      <c r="E169" s="1" t="s">
        <v>2717</v>
      </c>
      <c r="F169" s="1" t="s">
        <v>2709</v>
      </c>
      <c r="G169" s="1" t="s">
        <v>1941</v>
      </c>
      <c r="H169" s="1">
        <v>53405.0</v>
      </c>
      <c r="I169" s="3" t="s">
        <v>1942</v>
      </c>
    </row>
    <row r="170" ht="15.75" customHeight="1">
      <c r="A170" s="1" t="s">
        <v>377</v>
      </c>
      <c r="B170" s="1" t="s">
        <v>2718</v>
      </c>
      <c r="C170" s="1"/>
      <c r="D170" s="1" t="s">
        <v>2719</v>
      </c>
      <c r="E170" s="1" t="s">
        <v>2720</v>
      </c>
      <c r="F170" s="1" t="s">
        <v>2704</v>
      </c>
      <c r="G170" s="1" t="s">
        <v>1949</v>
      </c>
      <c r="H170" s="1" t="s">
        <v>2705</v>
      </c>
      <c r="I170" s="3" t="s">
        <v>1951</v>
      </c>
    </row>
    <row r="171" ht="15.75" customHeight="1">
      <c r="A171" s="1" t="s">
        <v>379</v>
      </c>
      <c r="B171" s="1" t="s">
        <v>2721</v>
      </c>
      <c r="C171" s="1" t="s">
        <v>2722</v>
      </c>
      <c r="D171" s="1" t="s">
        <v>2723</v>
      </c>
      <c r="E171" s="1" t="s">
        <v>2724</v>
      </c>
      <c r="F171" s="1" t="s">
        <v>2725</v>
      </c>
      <c r="G171" s="1" t="s">
        <v>1949</v>
      </c>
      <c r="H171" s="1" t="s">
        <v>2726</v>
      </c>
      <c r="I171" s="3" t="s">
        <v>1951</v>
      </c>
    </row>
    <row r="172" ht="15.75" customHeight="1">
      <c r="A172" s="1" t="s">
        <v>381</v>
      </c>
      <c r="B172" s="1" t="s">
        <v>2727</v>
      </c>
      <c r="C172" s="1" t="s">
        <v>2728</v>
      </c>
      <c r="D172" s="1"/>
      <c r="E172" s="1" t="s">
        <v>2729</v>
      </c>
      <c r="F172" s="1" t="s">
        <v>2730</v>
      </c>
      <c r="G172" s="1" t="s">
        <v>2116</v>
      </c>
      <c r="H172" s="1" t="s">
        <v>2731</v>
      </c>
      <c r="I172" s="3" t="s">
        <v>1951</v>
      </c>
    </row>
    <row r="173" ht="15.75" customHeight="1">
      <c r="A173" s="1" t="s">
        <v>383</v>
      </c>
      <c r="B173" s="1" t="s">
        <v>2732</v>
      </c>
      <c r="C173" s="1" t="s">
        <v>2733</v>
      </c>
      <c r="D173" s="1" t="s">
        <v>2734</v>
      </c>
      <c r="E173" s="1" t="s">
        <v>2735</v>
      </c>
      <c r="F173" s="1" t="s">
        <v>2220</v>
      </c>
      <c r="G173" s="1" t="s">
        <v>1941</v>
      </c>
      <c r="H173" s="1">
        <v>33686.0</v>
      </c>
      <c r="I173" s="3" t="s">
        <v>1942</v>
      </c>
    </row>
    <row r="174" ht="15.75" customHeight="1">
      <c r="A174" s="1" t="s">
        <v>385</v>
      </c>
      <c r="B174" s="1" t="s">
        <v>2736</v>
      </c>
      <c r="C174" s="1" t="s">
        <v>2737</v>
      </c>
      <c r="D174" s="1"/>
      <c r="E174" s="1" t="s">
        <v>2738</v>
      </c>
      <c r="F174" s="1" t="s">
        <v>2739</v>
      </c>
      <c r="G174" s="1" t="s">
        <v>1949</v>
      </c>
      <c r="H174" s="1" t="s">
        <v>2412</v>
      </c>
      <c r="I174" s="3" t="s">
        <v>1951</v>
      </c>
    </row>
    <row r="175" ht="15.75" customHeight="1">
      <c r="A175" s="1" t="s">
        <v>387</v>
      </c>
      <c r="B175" s="1" t="s">
        <v>2740</v>
      </c>
      <c r="C175" s="1" t="s">
        <v>2741</v>
      </c>
      <c r="D175" s="1" t="s">
        <v>2742</v>
      </c>
      <c r="E175" s="1" t="s">
        <v>2743</v>
      </c>
      <c r="F175" s="1" t="s">
        <v>2744</v>
      </c>
      <c r="G175" s="1" t="s">
        <v>1941</v>
      </c>
      <c r="H175" s="1">
        <v>36195.0</v>
      </c>
      <c r="I175" s="3" t="s">
        <v>1951</v>
      </c>
    </row>
    <row r="176" ht="15.75" customHeight="1">
      <c r="A176" s="1" t="s">
        <v>389</v>
      </c>
      <c r="B176" s="1" t="s">
        <v>2745</v>
      </c>
      <c r="C176" s="1"/>
      <c r="D176" s="1" t="s">
        <v>2746</v>
      </c>
      <c r="E176" s="1" t="s">
        <v>2747</v>
      </c>
      <c r="F176" s="1" t="s">
        <v>2748</v>
      </c>
      <c r="G176" s="1" t="s">
        <v>1941</v>
      </c>
      <c r="H176" s="1">
        <v>89436.0</v>
      </c>
      <c r="I176" s="3" t="s">
        <v>1942</v>
      </c>
    </row>
    <row r="177" ht="15.75" customHeight="1">
      <c r="A177" s="1" t="s">
        <v>391</v>
      </c>
      <c r="B177" s="1" t="s">
        <v>2749</v>
      </c>
      <c r="C177" s="1" t="s">
        <v>2750</v>
      </c>
      <c r="D177" s="1" t="s">
        <v>2751</v>
      </c>
      <c r="E177" s="1" t="s">
        <v>2752</v>
      </c>
      <c r="F177" s="1" t="s">
        <v>2753</v>
      </c>
      <c r="G177" s="1" t="s">
        <v>1941</v>
      </c>
      <c r="H177" s="1">
        <v>31205.0</v>
      </c>
      <c r="I177" s="3" t="s">
        <v>1942</v>
      </c>
    </row>
    <row r="178" ht="15.75" customHeight="1">
      <c r="A178" s="1" t="s">
        <v>393</v>
      </c>
      <c r="B178" s="1" t="s">
        <v>2754</v>
      </c>
      <c r="C178" s="1" t="s">
        <v>2755</v>
      </c>
      <c r="D178" s="1" t="s">
        <v>2756</v>
      </c>
      <c r="E178" s="1" t="s">
        <v>2757</v>
      </c>
      <c r="F178" s="1" t="s">
        <v>2758</v>
      </c>
      <c r="G178" s="1" t="s">
        <v>1941</v>
      </c>
      <c r="H178" s="1">
        <v>90605.0</v>
      </c>
      <c r="I178" s="3" t="s">
        <v>1942</v>
      </c>
    </row>
    <row r="179" ht="15.75" customHeight="1">
      <c r="A179" s="1" t="s">
        <v>395</v>
      </c>
      <c r="B179" s="1" t="s">
        <v>2759</v>
      </c>
      <c r="C179" s="1" t="s">
        <v>2760</v>
      </c>
      <c r="D179" s="1"/>
      <c r="E179" s="1" t="s">
        <v>2761</v>
      </c>
      <c r="F179" s="1" t="s">
        <v>2762</v>
      </c>
      <c r="G179" s="1" t="s">
        <v>1941</v>
      </c>
      <c r="H179" s="1">
        <v>37605.0</v>
      </c>
      <c r="I179" s="3" t="s">
        <v>1942</v>
      </c>
    </row>
    <row r="180" ht="15.75" customHeight="1">
      <c r="A180" s="1" t="s">
        <v>397</v>
      </c>
      <c r="B180" s="1" t="s">
        <v>2763</v>
      </c>
      <c r="C180" s="1" t="s">
        <v>2764</v>
      </c>
      <c r="D180" s="1" t="s">
        <v>2765</v>
      </c>
      <c r="E180" s="1" t="s">
        <v>2766</v>
      </c>
      <c r="F180" s="1" t="s">
        <v>2163</v>
      </c>
      <c r="G180" s="1" t="s">
        <v>1941</v>
      </c>
      <c r="H180" s="1">
        <v>14614.0</v>
      </c>
      <c r="I180" s="3" t="s">
        <v>1951</v>
      </c>
    </row>
    <row r="181" ht="15.75" customHeight="1">
      <c r="A181" s="1" t="s">
        <v>399</v>
      </c>
      <c r="B181" s="1" t="s">
        <v>2767</v>
      </c>
      <c r="C181" s="1"/>
      <c r="D181" s="1" t="s">
        <v>2768</v>
      </c>
      <c r="E181" s="1" t="s">
        <v>2769</v>
      </c>
      <c r="F181" s="1" t="s">
        <v>2770</v>
      </c>
      <c r="G181" s="1" t="s">
        <v>1949</v>
      </c>
      <c r="H181" s="1" t="s">
        <v>2771</v>
      </c>
      <c r="I181" s="3" t="s">
        <v>1951</v>
      </c>
    </row>
    <row r="182" ht="15.75" customHeight="1">
      <c r="A182" s="1" t="s">
        <v>401</v>
      </c>
      <c r="B182" s="1" t="s">
        <v>2772</v>
      </c>
      <c r="C182" s="1" t="s">
        <v>2773</v>
      </c>
      <c r="D182" s="1" t="s">
        <v>2774</v>
      </c>
      <c r="E182" s="1" t="s">
        <v>2775</v>
      </c>
      <c r="F182" s="1" t="s">
        <v>2776</v>
      </c>
      <c r="G182" s="1" t="s">
        <v>1941</v>
      </c>
      <c r="H182" s="1">
        <v>11254.0</v>
      </c>
      <c r="I182" s="3" t="s">
        <v>1951</v>
      </c>
    </row>
    <row r="183" ht="15.75" customHeight="1">
      <c r="A183" s="1" t="s">
        <v>2777</v>
      </c>
      <c r="B183" s="1" t="s">
        <v>2778</v>
      </c>
      <c r="C183" s="1" t="s">
        <v>2779</v>
      </c>
      <c r="D183" s="1" t="s">
        <v>2780</v>
      </c>
      <c r="E183" s="1" t="s">
        <v>2781</v>
      </c>
      <c r="F183" s="1" t="s">
        <v>1962</v>
      </c>
      <c r="G183" s="1" t="s">
        <v>1941</v>
      </c>
      <c r="H183" s="1">
        <v>1114.0</v>
      </c>
      <c r="I183" s="3" t="s">
        <v>1951</v>
      </c>
    </row>
    <row r="184" ht="15.75" customHeight="1">
      <c r="A184" s="1" t="s">
        <v>403</v>
      </c>
      <c r="B184" s="1" t="s">
        <v>2782</v>
      </c>
      <c r="C184" s="1" t="s">
        <v>2783</v>
      </c>
      <c r="D184" s="1" t="s">
        <v>2784</v>
      </c>
      <c r="E184" s="1" t="s">
        <v>2785</v>
      </c>
      <c r="F184" s="1" t="s">
        <v>2786</v>
      </c>
      <c r="G184" s="1" t="s">
        <v>1941</v>
      </c>
      <c r="H184" s="1">
        <v>22908.0</v>
      </c>
      <c r="I184" s="3" t="s">
        <v>1951</v>
      </c>
    </row>
    <row r="185" ht="15.75" customHeight="1">
      <c r="A185" s="1" t="s">
        <v>405</v>
      </c>
      <c r="B185" s="1" t="s">
        <v>2787</v>
      </c>
      <c r="C185" s="1" t="s">
        <v>2788</v>
      </c>
      <c r="D185" s="1" t="s">
        <v>2789</v>
      </c>
      <c r="E185" s="1" t="s">
        <v>2790</v>
      </c>
      <c r="F185" s="1" t="s">
        <v>2791</v>
      </c>
      <c r="G185" s="1" t="s">
        <v>1941</v>
      </c>
      <c r="H185" s="1">
        <v>75044.0</v>
      </c>
      <c r="I185" s="3" t="s">
        <v>1951</v>
      </c>
    </row>
    <row r="186" ht="15.75" customHeight="1">
      <c r="A186" s="1" t="s">
        <v>407</v>
      </c>
      <c r="B186" s="1" t="s">
        <v>2792</v>
      </c>
      <c r="C186" s="1" t="s">
        <v>2793</v>
      </c>
      <c r="D186" s="1" t="s">
        <v>2794</v>
      </c>
      <c r="E186" s="1" t="s">
        <v>2795</v>
      </c>
      <c r="F186" s="1" t="s">
        <v>2137</v>
      </c>
      <c r="G186" s="1" t="s">
        <v>1941</v>
      </c>
      <c r="H186" s="1">
        <v>55448.0</v>
      </c>
      <c r="I186" s="3" t="s">
        <v>1951</v>
      </c>
    </row>
    <row r="187" ht="15.75" customHeight="1">
      <c r="A187" s="1" t="s">
        <v>409</v>
      </c>
      <c r="B187" s="1" t="s">
        <v>2796</v>
      </c>
      <c r="C187" s="1" t="s">
        <v>2797</v>
      </c>
      <c r="D187" s="1" t="s">
        <v>2798</v>
      </c>
      <c r="E187" s="1" t="s">
        <v>2799</v>
      </c>
      <c r="F187" s="1" t="s">
        <v>2800</v>
      </c>
      <c r="G187" s="1" t="s">
        <v>1941</v>
      </c>
      <c r="H187" s="1">
        <v>48919.0</v>
      </c>
      <c r="I187" s="3" t="s">
        <v>1942</v>
      </c>
    </row>
    <row r="188" ht="15.75" customHeight="1">
      <c r="A188" s="1" t="s">
        <v>411</v>
      </c>
      <c r="B188" s="1" t="s">
        <v>2801</v>
      </c>
      <c r="C188" s="1" t="s">
        <v>2802</v>
      </c>
      <c r="D188" s="1" t="s">
        <v>2803</v>
      </c>
      <c r="E188" s="1" t="s">
        <v>2804</v>
      </c>
      <c r="F188" s="1" t="s">
        <v>2110</v>
      </c>
      <c r="G188" s="1" t="s">
        <v>1941</v>
      </c>
      <c r="H188" s="1">
        <v>58207.0</v>
      </c>
      <c r="I188" s="3" t="s">
        <v>1951</v>
      </c>
    </row>
    <row r="189" ht="15.75" customHeight="1">
      <c r="A189" s="1" t="s">
        <v>413</v>
      </c>
      <c r="B189" s="1" t="s">
        <v>2805</v>
      </c>
      <c r="C189" s="1" t="s">
        <v>2806</v>
      </c>
      <c r="D189" s="1"/>
      <c r="E189" s="1" t="s">
        <v>2807</v>
      </c>
      <c r="F189" s="1" t="s">
        <v>2501</v>
      </c>
      <c r="G189" s="1" t="s">
        <v>1941</v>
      </c>
      <c r="H189" s="1">
        <v>99522.0</v>
      </c>
      <c r="I189" s="3" t="s">
        <v>1942</v>
      </c>
    </row>
    <row r="190" ht="15.75" customHeight="1">
      <c r="A190" s="1" t="s">
        <v>415</v>
      </c>
      <c r="B190" s="1" t="s">
        <v>2808</v>
      </c>
      <c r="C190" s="1" t="s">
        <v>2809</v>
      </c>
      <c r="D190" s="1" t="s">
        <v>2810</v>
      </c>
      <c r="E190" s="1" t="s">
        <v>2811</v>
      </c>
      <c r="F190" s="1" t="s">
        <v>2362</v>
      </c>
      <c r="G190" s="1" t="s">
        <v>1941</v>
      </c>
      <c r="H190" s="1">
        <v>73129.0</v>
      </c>
      <c r="I190" s="3" t="s">
        <v>1942</v>
      </c>
    </row>
    <row r="191" ht="15.75" customHeight="1">
      <c r="A191" s="1" t="s">
        <v>417</v>
      </c>
      <c r="B191" s="1" t="s">
        <v>2812</v>
      </c>
      <c r="C191" s="1" t="s">
        <v>2813</v>
      </c>
      <c r="D191" s="1" t="s">
        <v>2814</v>
      </c>
      <c r="E191" s="1" t="s">
        <v>2815</v>
      </c>
      <c r="F191" s="1" t="s">
        <v>2816</v>
      </c>
      <c r="G191" s="1" t="s">
        <v>1941</v>
      </c>
      <c r="H191" s="1">
        <v>74103.0</v>
      </c>
      <c r="I191" s="3" t="s">
        <v>1942</v>
      </c>
    </row>
    <row r="192" ht="15.75" customHeight="1">
      <c r="A192" s="1" t="s">
        <v>419</v>
      </c>
      <c r="B192" s="1" t="s">
        <v>2817</v>
      </c>
      <c r="C192" s="1" t="s">
        <v>2818</v>
      </c>
      <c r="D192" s="1" t="s">
        <v>2819</v>
      </c>
      <c r="E192" s="1" t="s">
        <v>2820</v>
      </c>
      <c r="F192" s="1" t="s">
        <v>2821</v>
      </c>
      <c r="G192" s="1" t="s">
        <v>1941</v>
      </c>
      <c r="H192" s="1">
        <v>48211.0</v>
      </c>
      <c r="I192" s="3" t="s">
        <v>1942</v>
      </c>
    </row>
    <row r="193" ht="15.75" customHeight="1">
      <c r="A193" s="1" t="s">
        <v>421</v>
      </c>
      <c r="B193" s="1" t="s">
        <v>2822</v>
      </c>
      <c r="C193" s="1" t="s">
        <v>2823</v>
      </c>
      <c r="D193" s="1" t="s">
        <v>2824</v>
      </c>
      <c r="E193" s="1" t="s">
        <v>2825</v>
      </c>
      <c r="F193" s="1" t="s">
        <v>2186</v>
      </c>
      <c r="G193" s="1" t="s">
        <v>1941</v>
      </c>
      <c r="H193" s="1">
        <v>20436.0</v>
      </c>
      <c r="I193" s="3" t="s">
        <v>1942</v>
      </c>
    </row>
    <row r="194" ht="15.75" customHeight="1">
      <c r="A194" s="1" t="s">
        <v>423</v>
      </c>
      <c r="B194" s="1" t="s">
        <v>2826</v>
      </c>
      <c r="C194" s="1" t="s">
        <v>2827</v>
      </c>
      <c r="D194" s="1" t="s">
        <v>2828</v>
      </c>
      <c r="E194" s="1" t="s">
        <v>2829</v>
      </c>
      <c r="F194" s="1" t="s">
        <v>2830</v>
      </c>
      <c r="G194" s="1" t="s">
        <v>1949</v>
      </c>
      <c r="H194" s="1" t="s">
        <v>2831</v>
      </c>
      <c r="I194" s="3" t="s">
        <v>1942</v>
      </c>
    </row>
    <row r="195" ht="15.75" customHeight="1">
      <c r="A195" s="1" t="s">
        <v>425</v>
      </c>
      <c r="B195" s="1" t="s">
        <v>2832</v>
      </c>
      <c r="C195" s="1"/>
      <c r="D195" s="1" t="s">
        <v>2833</v>
      </c>
      <c r="E195" s="1" t="s">
        <v>2834</v>
      </c>
      <c r="F195" s="1" t="s">
        <v>2835</v>
      </c>
      <c r="G195" s="1" t="s">
        <v>1941</v>
      </c>
      <c r="H195" s="1">
        <v>85215.0</v>
      </c>
      <c r="I195" s="3" t="s">
        <v>1951</v>
      </c>
    </row>
    <row r="196" ht="15.75" customHeight="1">
      <c r="A196" s="1" t="s">
        <v>427</v>
      </c>
      <c r="B196" s="1" t="s">
        <v>2836</v>
      </c>
      <c r="C196" s="1" t="s">
        <v>2837</v>
      </c>
      <c r="D196" s="1" t="s">
        <v>2838</v>
      </c>
      <c r="E196" s="1" t="s">
        <v>2839</v>
      </c>
      <c r="F196" s="1" t="s">
        <v>2840</v>
      </c>
      <c r="G196" s="1" t="s">
        <v>1941</v>
      </c>
      <c r="H196" s="1">
        <v>44485.0</v>
      </c>
      <c r="I196" s="3" t="s">
        <v>1951</v>
      </c>
    </row>
    <row r="197" ht="15.75" customHeight="1">
      <c r="A197" s="1" t="s">
        <v>429</v>
      </c>
      <c r="B197" s="1" t="s">
        <v>2841</v>
      </c>
      <c r="C197" s="1" t="s">
        <v>2842</v>
      </c>
      <c r="D197" s="1" t="s">
        <v>2843</v>
      </c>
      <c r="E197" s="1" t="s">
        <v>2844</v>
      </c>
      <c r="F197" s="1" t="s">
        <v>2845</v>
      </c>
      <c r="G197" s="1" t="s">
        <v>1941</v>
      </c>
      <c r="H197" s="1">
        <v>38150.0</v>
      </c>
      <c r="I197" s="3" t="s">
        <v>1951</v>
      </c>
    </row>
    <row r="198" ht="15.75" customHeight="1">
      <c r="A198" s="1" t="s">
        <v>431</v>
      </c>
      <c r="B198" s="1" t="s">
        <v>2846</v>
      </c>
      <c r="C198" s="1" t="s">
        <v>2847</v>
      </c>
      <c r="D198" s="1"/>
      <c r="E198" s="1" t="s">
        <v>2848</v>
      </c>
      <c r="F198" s="1" t="s">
        <v>2186</v>
      </c>
      <c r="G198" s="1" t="s">
        <v>1941</v>
      </c>
      <c r="H198" s="1">
        <v>20535.0</v>
      </c>
      <c r="I198" s="3" t="s">
        <v>1951</v>
      </c>
    </row>
    <row r="199" ht="15.75" customHeight="1">
      <c r="A199" s="1" t="s">
        <v>2849</v>
      </c>
      <c r="B199" s="1" t="s">
        <v>2850</v>
      </c>
      <c r="C199" s="1" t="s">
        <v>2851</v>
      </c>
      <c r="D199" s="1" t="s">
        <v>2852</v>
      </c>
      <c r="E199" s="1" t="s">
        <v>2853</v>
      </c>
      <c r="F199" s="1" t="s">
        <v>2854</v>
      </c>
      <c r="G199" s="1" t="s">
        <v>1949</v>
      </c>
      <c r="H199" s="1" t="s">
        <v>2855</v>
      </c>
      <c r="I199" s="3" t="s">
        <v>1942</v>
      </c>
    </row>
    <row r="200" ht="15.75" customHeight="1">
      <c r="A200" s="1" t="s">
        <v>2856</v>
      </c>
      <c r="B200" s="1" t="s">
        <v>2857</v>
      </c>
      <c r="C200" s="1" t="s">
        <v>2858</v>
      </c>
      <c r="D200" s="1" t="s">
        <v>2859</v>
      </c>
      <c r="E200" s="1" t="s">
        <v>2860</v>
      </c>
      <c r="F200" s="1" t="s">
        <v>2861</v>
      </c>
      <c r="G200" s="1" t="s">
        <v>1941</v>
      </c>
      <c r="H200" s="1">
        <v>33064.0</v>
      </c>
      <c r="I200" s="3" t="s">
        <v>1951</v>
      </c>
    </row>
    <row r="201" ht="15.75" customHeight="1">
      <c r="A201" s="1" t="s">
        <v>2862</v>
      </c>
      <c r="B201" s="1" t="s">
        <v>2863</v>
      </c>
      <c r="C201" s="1" t="s">
        <v>2864</v>
      </c>
      <c r="D201" s="1" t="s">
        <v>2865</v>
      </c>
      <c r="E201" s="1" t="s">
        <v>2866</v>
      </c>
      <c r="F201" s="1" t="s">
        <v>2252</v>
      </c>
      <c r="G201" s="1" t="s">
        <v>1941</v>
      </c>
      <c r="H201" s="1">
        <v>60604.0</v>
      </c>
      <c r="I201" s="3" t="s">
        <v>1951</v>
      </c>
    </row>
    <row r="202" ht="15.75" customHeight="1">
      <c r="A202" s="1" t="s">
        <v>2867</v>
      </c>
      <c r="B202" s="1" t="s">
        <v>2868</v>
      </c>
      <c r="C202" s="1" t="s">
        <v>2869</v>
      </c>
      <c r="D202" s="1" t="s">
        <v>2870</v>
      </c>
      <c r="E202" s="1" t="s">
        <v>2871</v>
      </c>
      <c r="F202" s="1" t="s">
        <v>2872</v>
      </c>
      <c r="G202" s="1" t="s">
        <v>2116</v>
      </c>
      <c r="H202" s="1" t="s">
        <v>2873</v>
      </c>
      <c r="I202" s="3" t="s">
        <v>1951</v>
      </c>
    </row>
    <row r="203" ht="15.75" customHeight="1">
      <c r="A203" s="1" t="s">
        <v>433</v>
      </c>
      <c r="B203" s="1" t="s">
        <v>2874</v>
      </c>
      <c r="C203" s="1"/>
      <c r="D203" s="1" t="s">
        <v>2875</v>
      </c>
      <c r="E203" s="1" t="s">
        <v>2876</v>
      </c>
      <c r="F203" s="1" t="s">
        <v>2154</v>
      </c>
      <c r="G203" s="1" t="s">
        <v>1941</v>
      </c>
      <c r="H203" s="1">
        <v>84409.0</v>
      </c>
      <c r="I203" s="3" t="s">
        <v>1951</v>
      </c>
    </row>
    <row r="204" ht="15.75" customHeight="1">
      <c r="A204" s="1" t="s">
        <v>435</v>
      </c>
      <c r="B204" s="1" t="s">
        <v>2877</v>
      </c>
      <c r="C204" s="1" t="s">
        <v>2878</v>
      </c>
      <c r="D204" s="1" t="s">
        <v>2879</v>
      </c>
      <c r="E204" s="1" t="s">
        <v>2880</v>
      </c>
      <c r="F204" s="1" t="s">
        <v>2881</v>
      </c>
      <c r="G204" s="1" t="s">
        <v>1941</v>
      </c>
      <c r="H204" s="1">
        <v>12205.0</v>
      </c>
      <c r="I204" s="3" t="s">
        <v>1942</v>
      </c>
    </row>
    <row r="205" ht="15.75" customHeight="1">
      <c r="A205" s="1" t="s">
        <v>437</v>
      </c>
      <c r="B205" s="1" t="s">
        <v>2882</v>
      </c>
      <c r="C205" s="1" t="s">
        <v>2883</v>
      </c>
      <c r="D205" s="1" t="s">
        <v>2884</v>
      </c>
      <c r="E205" s="1" t="s">
        <v>2885</v>
      </c>
      <c r="F205" s="1" t="s">
        <v>2886</v>
      </c>
      <c r="G205" s="1" t="s">
        <v>1941</v>
      </c>
      <c r="H205" s="1">
        <v>29305.0</v>
      </c>
      <c r="I205" s="3" t="s">
        <v>1951</v>
      </c>
    </row>
    <row r="206" ht="15.75" customHeight="1">
      <c r="A206" s="1" t="s">
        <v>439</v>
      </c>
      <c r="B206" s="1" t="s">
        <v>2887</v>
      </c>
      <c r="C206" s="1"/>
      <c r="D206" s="1" t="s">
        <v>2888</v>
      </c>
      <c r="E206" s="1" t="s">
        <v>2889</v>
      </c>
      <c r="F206" s="1" t="s">
        <v>2890</v>
      </c>
      <c r="G206" s="1" t="s">
        <v>1941</v>
      </c>
      <c r="H206" s="1">
        <v>10310.0</v>
      </c>
      <c r="I206" s="3" t="s">
        <v>1951</v>
      </c>
    </row>
    <row r="207" ht="15.75" customHeight="1">
      <c r="A207" s="1" t="s">
        <v>441</v>
      </c>
      <c r="B207" s="1" t="s">
        <v>2891</v>
      </c>
      <c r="C207" s="1"/>
      <c r="D207" s="1" t="s">
        <v>2892</v>
      </c>
      <c r="E207" s="1" t="s">
        <v>2893</v>
      </c>
      <c r="F207" s="1" t="s">
        <v>2186</v>
      </c>
      <c r="G207" s="1" t="s">
        <v>1941</v>
      </c>
      <c r="H207" s="1">
        <v>20337.0</v>
      </c>
      <c r="I207" s="3" t="s">
        <v>1942</v>
      </c>
    </row>
    <row r="208" ht="15.75" customHeight="1">
      <c r="A208" s="1" t="s">
        <v>443</v>
      </c>
      <c r="B208" s="1" t="s">
        <v>2894</v>
      </c>
      <c r="C208" s="1" t="s">
        <v>2895</v>
      </c>
      <c r="D208" s="1"/>
      <c r="E208" s="1" t="s">
        <v>2896</v>
      </c>
      <c r="F208" s="1" t="s">
        <v>2300</v>
      </c>
      <c r="G208" s="1" t="s">
        <v>1941</v>
      </c>
      <c r="H208" s="1">
        <v>28225.0</v>
      </c>
      <c r="I208" s="3" t="s">
        <v>1951</v>
      </c>
    </row>
    <row r="209" ht="15.75" customHeight="1">
      <c r="A209" s="1" t="s">
        <v>445</v>
      </c>
      <c r="B209" s="1" t="s">
        <v>2897</v>
      </c>
      <c r="C209" s="1" t="s">
        <v>2898</v>
      </c>
      <c r="D209" s="1" t="s">
        <v>2899</v>
      </c>
      <c r="E209" s="1" t="s">
        <v>2900</v>
      </c>
      <c r="F209" s="1" t="s">
        <v>2901</v>
      </c>
      <c r="G209" s="1" t="s">
        <v>1941</v>
      </c>
      <c r="H209" s="1">
        <v>79491.0</v>
      </c>
      <c r="I209" s="3" t="s">
        <v>1942</v>
      </c>
    </row>
    <row r="210" ht="15.75" customHeight="1">
      <c r="A210" s="1" t="s">
        <v>447</v>
      </c>
      <c r="B210" s="1" t="s">
        <v>2902</v>
      </c>
      <c r="C210" s="1" t="s">
        <v>2903</v>
      </c>
      <c r="D210" s="1" t="s">
        <v>2904</v>
      </c>
      <c r="E210" s="1" t="s">
        <v>2905</v>
      </c>
      <c r="F210" s="1" t="s">
        <v>2906</v>
      </c>
      <c r="G210" s="1" t="s">
        <v>1949</v>
      </c>
      <c r="H210" s="1" t="s">
        <v>2907</v>
      </c>
      <c r="I210" s="3" t="s">
        <v>1942</v>
      </c>
    </row>
    <row r="211" ht="15.75" customHeight="1">
      <c r="A211" s="1" t="s">
        <v>449</v>
      </c>
      <c r="B211" s="1" t="s">
        <v>2908</v>
      </c>
      <c r="C211" s="1" t="s">
        <v>2909</v>
      </c>
      <c r="D211" s="1" t="s">
        <v>2910</v>
      </c>
      <c r="E211" s="1" t="s">
        <v>2911</v>
      </c>
      <c r="F211" s="1" t="s">
        <v>2912</v>
      </c>
      <c r="G211" s="1" t="s">
        <v>2116</v>
      </c>
      <c r="H211" s="1" t="s">
        <v>2913</v>
      </c>
      <c r="I211" s="3" t="s">
        <v>1951</v>
      </c>
    </row>
    <row r="212" ht="15.75" customHeight="1">
      <c r="A212" s="1" t="s">
        <v>451</v>
      </c>
      <c r="B212" s="1" t="s">
        <v>2914</v>
      </c>
      <c r="C212" s="1" t="s">
        <v>2915</v>
      </c>
      <c r="D212" s="1" t="s">
        <v>2916</v>
      </c>
      <c r="E212" s="1" t="s">
        <v>2917</v>
      </c>
      <c r="F212" s="1" t="s">
        <v>2786</v>
      </c>
      <c r="G212" s="1" t="s">
        <v>1941</v>
      </c>
      <c r="H212" s="1">
        <v>22908.0</v>
      </c>
      <c r="I212" s="3" t="s">
        <v>1942</v>
      </c>
    </row>
    <row r="213" ht="15.75" customHeight="1">
      <c r="A213" s="1" t="s">
        <v>453</v>
      </c>
      <c r="B213" s="1" t="s">
        <v>2918</v>
      </c>
      <c r="C213" s="1" t="s">
        <v>2919</v>
      </c>
      <c r="D213" s="1"/>
      <c r="E213" s="1" t="s">
        <v>2920</v>
      </c>
      <c r="F213" s="1" t="s">
        <v>2037</v>
      </c>
      <c r="G213" s="1" t="s">
        <v>1941</v>
      </c>
      <c r="H213" s="1">
        <v>10105.0</v>
      </c>
      <c r="I213" s="3" t="s">
        <v>1951</v>
      </c>
    </row>
    <row r="214" ht="15.75" customHeight="1">
      <c r="A214" s="1" t="s">
        <v>455</v>
      </c>
      <c r="B214" s="1" t="s">
        <v>2921</v>
      </c>
      <c r="C214" s="1" t="s">
        <v>2922</v>
      </c>
      <c r="D214" s="1" t="s">
        <v>2923</v>
      </c>
      <c r="E214" s="1" t="s">
        <v>2924</v>
      </c>
      <c r="F214" s="1" t="s">
        <v>2643</v>
      </c>
      <c r="G214" s="1" t="s">
        <v>1941</v>
      </c>
      <c r="H214" s="1">
        <v>24009.0</v>
      </c>
      <c r="I214" s="3" t="s">
        <v>1942</v>
      </c>
    </row>
    <row r="215" ht="15.75" customHeight="1">
      <c r="A215" s="1" t="s">
        <v>457</v>
      </c>
      <c r="B215" s="1" t="s">
        <v>2925</v>
      </c>
      <c r="C215" s="1" t="s">
        <v>2926</v>
      </c>
      <c r="D215" s="1" t="s">
        <v>2927</v>
      </c>
      <c r="E215" s="1" t="s">
        <v>2928</v>
      </c>
      <c r="F215" s="1" t="s">
        <v>2037</v>
      </c>
      <c r="G215" s="1" t="s">
        <v>1941</v>
      </c>
      <c r="H215" s="1">
        <v>10009.0</v>
      </c>
      <c r="I215" s="3" t="s">
        <v>1951</v>
      </c>
    </row>
    <row r="216" ht="15.75" customHeight="1">
      <c r="A216" s="1" t="s">
        <v>459</v>
      </c>
      <c r="B216" s="1" t="s">
        <v>2929</v>
      </c>
      <c r="C216" s="1" t="s">
        <v>2930</v>
      </c>
      <c r="D216" s="1" t="s">
        <v>2931</v>
      </c>
      <c r="E216" s="1" t="s">
        <v>2932</v>
      </c>
      <c r="F216" s="1" t="s">
        <v>2933</v>
      </c>
      <c r="G216" s="1" t="s">
        <v>1949</v>
      </c>
      <c r="H216" s="1" t="s">
        <v>2083</v>
      </c>
      <c r="I216" s="3" t="s">
        <v>1951</v>
      </c>
    </row>
    <row r="217" ht="15.75" customHeight="1">
      <c r="A217" s="1" t="s">
        <v>461</v>
      </c>
      <c r="B217" s="1" t="s">
        <v>2934</v>
      </c>
      <c r="C217" s="1" t="s">
        <v>2935</v>
      </c>
      <c r="D217" s="1" t="s">
        <v>2936</v>
      </c>
      <c r="E217" s="1" t="s">
        <v>2937</v>
      </c>
      <c r="F217" s="1" t="s">
        <v>2938</v>
      </c>
      <c r="G217" s="1" t="s">
        <v>1941</v>
      </c>
      <c r="H217" s="1">
        <v>84120.0</v>
      </c>
      <c r="I217" s="3" t="s">
        <v>1951</v>
      </c>
    </row>
    <row r="218" ht="15.75" customHeight="1">
      <c r="A218" s="1" t="s">
        <v>463</v>
      </c>
      <c r="B218" s="1" t="s">
        <v>2939</v>
      </c>
      <c r="C218" s="1" t="s">
        <v>2940</v>
      </c>
      <c r="D218" s="1" t="s">
        <v>2941</v>
      </c>
      <c r="E218" s="1" t="s">
        <v>2942</v>
      </c>
      <c r="F218" s="1" t="s">
        <v>2211</v>
      </c>
      <c r="G218" s="1" t="s">
        <v>1941</v>
      </c>
      <c r="H218" s="1">
        <v>43635.0</v>
      </c>
      <c r="I218" s="3" t="s">
        <v>1942</v>
      </c>
    </row>
    <row r="219" ht="15.75" customHeight="1">
      <c r="A219" s="1" t="s">
        <v>465</v>
      </c>
      <c r="B219" s="1" t="s">
        <v>2943</v>
      </c>
      <c r="C219" s="1" t="s">
        <v>2944</v>
      </c>
      <c r="D219" s="1" t="s">
        <v>2945</v>
      </c>
      <c r="E219" s="1" t="s">
        <v>2946</v>
      </c>
      <c r="F219" s="1" t="s">
        <v>2947</v>
      </c>
      <c r="G219" s="1" t="s">
        <v>1941</v>
      </c>
      <c r="H219" s="1">
        <v>91131.0</v>
      </c>
      <c r="I219" s="3" t="s">
        <v>1951</v>
      </c>
    </row>
    <row r="220" ht="15.75" customHeight="1">
      <c r="A220" s="1" t="s">
        <v>467</v>
      </c>
      <c r="B220" s="1" t="s">
        <v>2948</v>
      </c>
      <c r="C220" s="1" t="s">
        <v>2949</v>
      </c>
      <c r="D220" s="1" t="s">
        <v>2950</v>
      </c>
      <c r="E220" s="1" t="s">
        <v>2951</v>
      </c>
      <c r="F220" s="1" t="s">
        <v>2952</v>
      </c>
      <c r="G220" s="1" t="s">
        <v>1949</v>
      </c>
      <c r="H220" s="1" t="s">
        <v>2293</v>
      </c>
      <c r="I220" s="3" t="s">
        <v>1942</v>
      </c>
    </row>
    <row r="221" ht="15.75" customHeight="1">
      <c r="A221" s="1" t="s">
        <v>469</v>
      </c>
      <c r="B221" s="1" t="s">
        <v>2953</v>
      </c>
      <c r="C221" s="1" t="s">
        <v>2954</v>
      </c>
      <c r="D221" s="1" t="s">
        <v>2955</v>
      </c>
      <c r="E221" s="1" t="s">
        <v>2956</v>
      </c>
      <c r="F221" s="1" t="s">
        <v>2957</v>
      </c>
      <c r="G221" s="1" t="s">
        <v>1941</v>
      </c>
      <c r="H221" s="1">
        <v>64082.0</v>
      </c>
      <c r="I221" s="3" t="s">
        <v>1951</v>
      </c>
    </row>
    <row r="222" ht="15.75" customHeight="1">
      <c r="A222" s="1" t="s">
        <v>2958</v>
      </c>
      <c r="B222" s="1" t="s">
        <v>2959</v>
      </c>
      <c r="C222" s="1" t="s">
        <v>2960</v>
      </c>
      <c r="D222" s="1" t="s">
        <v>2961</v>
      </c>
      <c r="E222" s="1" t="s">
        <v>2962</v>
      </c>
      <c r="F222" s="1" t="s">
        <v>2266</v>
      </c>
      <c r="G222" s="1" t="s">
        <v>1941</v>
      </c>
      <c r="H222" s="1">
        <v>76121.0</v>
      </c>
      <c r="I222" s="3" t="s">
        <v>1951</v>
      </c>
    </row>
    <row r="223" ht="15.75" customHeight="1">
      <c r="A223" s="1" t="s">
        <v>471</v>
      </c>
      <c r="B223" s="1" t="s">
        <v>2963</v>
      </c>
      <c r="C223" s="1" t="s">
        <v>2964</v>
      </c>
      <c r="D223" s="1" t="s">
        <v>2965</v>
      </c>
      <c r="E223" s="1" t="s">
        <v>2966</v>
      </c>
      <c r="F223" s="1" t="s">
        <v>2967</v>
      </c>
      <c r="G223" s="1" t="s">
        <v>1941</v>
      </c>
      <c r="H223" s="1">
        <v>92619.0</v>
      </c>
      <c r="I223" s="3" t="s">
        <v>1942</v>
      </c>
    </row>
    <row r="224" ht="15.75" customHeight="1">
      <c r="A224" s="1" t="s">
        <v>473</v>
      </c>
      <c r="B224" s="1" t="s">
        <v>2968</v>
      </c>
      <c r="C224" s="1" t="s">
        <v>2969</v>
      </c>
      <c r="D224" s="1" t="s">
        <v>2970</v>
      </c>
      <c r="E224" s="1" t="s">
        <v>2971</v>
      </c>
      <c r="F224" s="1" t="s">
        <v>2972</v>
      </c>
      <c r="G224" s="1" t="s">
        <v>1941</v>
      </c>
      <c r="H224" s="1">
        <v>11854.0</v>
      </c>
      <c r="I224" s="3" t="s">
        <v>1951</v>
      </c>
    </row>
    <row r="225" ht="15.75" customHeight="1">
      <c r="A225" s="1" t="s">
        <v>475</v>
      </c>
      <c r="B225" s="1" t="s">
        <v>2973</v>
      </c>
      <c r="C225" s="1"/>
      <c r="D225" s="1" t="s">
        <v>2974</v>
      </c>
      <c r="E225" s="1" t="s">
        <v>2975</v>
      </c>
      <c r="F225" s="1" t="s">
        <v>2186</v>
      </c>
      <c r="G225" s="1" t="s">
        <v>1941</v>
      </c>
      <c r="H225" s="1">
        <v>20546.0</v>
      </c>
      <c r="I225" s="3" t="s">
        <v>1942</v>
      </c>
    </row>
    <row r="226" ht="15.75" customHeight="1">
      <c r="A226" s="1" t="s">
        <v>477</v>
      </c>
      <c r="B226" s="1" t="s">
        <v>2976</v>
      </c>
      <c r="C226" s="1" t="s">
        <v>2977</v>
      </c>
      <c r="D226" s="1" t="s">
        <v>2978</v>
      </c>
      <c r="E226" s="1" t="s">
        <v>2979</v>
      </c>
      <c r="F226" s="1" t="s">
        <v>2037</v>
      </c>
      <c r="G226" s="1" t="s">
        <v>1941</v>
      </c>
      <c r="H226" s="1">
        <v>10060.0</v>
      </c>
      <c r="I226" s="3" t="s">
        <v>1942</v>
      </c>
    </row>
    <row r="227" ht="15.75" customHeight="1">
      <c r="A227" s="1" t="s">
        <v>479</v>
      </c>
      <c r="B227" s="1" t="s">
        <v>2980</v>
      </c>
      <c r="C227" s="1" t="s">
        <v>2981</v>
      </c>
      <c r="D227" s="1" t="s">
        <v>2982</v>
      </c>
      <c r="E227" s="1" t="s">
        <v>2983</v>
      </c>
      <c r="F227" s="1" t="s">
        <v>2292</v>
      </c>
      <c r="G227" s="1" t="s">
        <v>1949</v>
      </c>
      <c r="H227" s="1" t="s">
        <v>2293</v>
      </c>
      <c r="I227" s="3" t="s">
        <v>1951</v>
      </c>
    </row>
    <row r="228" ht="15.75" customHeight="1">
      <c r="A228" s="1" t="s">
        <v>481</v>
      </c>
      <c r="B228" s="1" t="s">
        <v>2984</v>
      </c>
      <c r="C228" s="1" t="s">
        <v>2985</v>
      </c>
      <c r="D228" s="1" t="s">
        <v>2986</v>
      </c>
      <c r="E228" s="1" t="s">
        <v>2987</v>
      </c>
      <c r="F228" s="1" t="s">
        <v>2988</v>
      </c>
      <c r="G228" s="1" t="s">
        <v>1941</v>
      </c>
      <c r="H228" s="1">
        <v>66276.0</v>
      </c>
      <c r="I228" s="3" t="s">
        <v>1951</v>
      </c>
    </row>
    <row r="229" ht="15.75" customHeight="1">
      <c r="A229" s="1" t="s">
        <v>483</v>
      </c>
      <c r="B229" s="1" t="s">
        <v>2989</v>
      </c>
      <c r="C229" s="1" t="s">
        <v>2990</v>
      </c>
      <c r="D229" s="1" t="s">
        <v>2991</v>
      </c>
      <c r="E229" s="1" t="s">
        <v>2992</v>
      </c>
      <c r="F229" s="1" t="s">
        <v>2993</v>
      </c>
      <c r="G229" s="1" t="s">
        <v>2116</v>
      </c>
      <c r="H229" s="1" t="s">
        <v>2994</v>
      </c>
      <c r="I229" s="3" t="s">
        <v>1942</v>
      </c>
    </row>
    <row r="230" ht="15.75" customHeight="1">
      <c r="A230" s="1" t="s">
        <v>485</v>
      </c>
      <c r="B230" s="1" t="s">
        <v>2995</v>
      </c>
      <c r="C230" s="1" t="s">
        <v>2996</v>
      </c>
      <c r="D230" s="1" t="s">
        <v>2997</v>
      </c>
      <c r="E230" s="1" t="s">
        <v>2998</v>
      </c>
      <c r="F230" s="1" t="s">
        <v>2999</v>
      </c>
      <c r="G230" s="1" t="s">
        <v>1941</v>
      </c>
      <c r="H230" s="1">
        <v>94291.0</v>
      </c>
      <c r="I230" s="3" t="s">
        <v>1951</v>
      </c>
    </row>
    <row r="231" ht="15.75" customHeight="1">
      <c r="A231" s="1" t="s">
        <v>487</v>
      </c>
      <c r="B231" s="1" t="s">
        <v>3000</v>
      </c>
      <c r="C231" s="1" t="s">
        <v>3001</v>
      </c>
      <c r="D231" s="1" t="s">
        <v>3002</v>
      </c>
      <c r="E231" s="1" t="s">
        <v>3003</v>
      </c>
      <c r="F231" s="1" t="s">
        <v>3004</v>
      </c>
      <c r="G231" s="1" t="s">
        <v>1941</v>
      </c>
      <c r="H231" s="1">
        <v>18706.0</v>
      </c>
      <c r="I231" s="3" t="s">
        <v>1951</v>
      </c>
    </row>
    <row r="232" ht="15.75" customHeight="1">
      <c r="A232" s="1" t="s">
        <v>489</v>
      </c>
      <c r="B232" s="1" t="s">
        <v>3005</v>
      </c>
      <c r="C232" s="1" t="s">
        <v>3006</v>
      </c>
      <c r="D232" s="1" t="s">
        <v>3007</v>
      </c>
      <c r="E232" s="1" t="s">
        <v>3008</v>
      </c>
      <c r="F232" s="1" t="s">
        <v>2694</v>
      </c>
      <c r="G232" s="1" t="s">
        <v>1941</v>
      </c>
      <c r="H232" s="1">
        <v>27499.0</v>
      </c>
      <c r="I232" s="3" t="s">
        <v>1951</v>
      </c>
    </row>
    <row r="233" ht="15.75" customHeight="1">
      <c r="A233" s="1" t="s">
        <v>491</v>
      </c>
      <c r="B233" s="1" t="s">
        <v>3009</v>
      </c>
      <c r="C233" s="1"/>
      <c r="D233" s="1" t="s">
        <v>3010</v>
      </c>
      <c r="E233" s="1" t="s">
        <v>3011</v>
      </c>
      <c r="F233" s="1" t="s">
        <v>2256</v>
      </c>
      <c r="G233" s="1" t="s">
        <v>1941</v>
      </c>
      <c r="H233" s="1">
        <v>19725.0</v>
      </c>
      <c r="I233" s="3" t="s">
        <v>1942</v>
      </c>
    </row>
    <row r="234" ht="15.75" customHeight="1">
      <c r="A234" s="1" t="s">
        <v>493</v>
      </c>
      <c r="B234" s="1" t="s">
        <v>3012</v>
      </c>
      <c r="C234" s="1" t="s">
        <v>3013</v>
      </c>
      <c r="D234" s="1" t="s">
        <v>3014</v>
      </c>
      <c r="E234" s="1" t="s">
        <v>3015</v>
      </c>
      <c r="F234" s="1" t="s">
        <v>2199</v>
      </c>
      <c r="G234" s="1" t="s">
        <v>2116</v>
      </c>
      <c r="H234" s="1" t="s">
        <v>2200</v>
      </c>
      <c r="I234" s="3" t="s">
        <v>1951</v>
      </c>
    </row>
    <row r="235" ht="15.75" customHeight="1">
      <c r="A235" s="1" t="s">
        <v>495</v>
      </c>
      <c r="B235" s="1" t="s">
        <v>3016</v>
      </c>
      <c r="C235" s="1" t="s">
        <v>3017</v>
      </c>
      <c r="D235" s="1" t="s">
        <v>3018</v>
      </c>
      <c r="E235" s="1" t="s">
        <v>3019</v>
      </c>
      <c r="F235" s="1" t="s">
        <v>2592</v>
      </c>
      <c r="G235" s="1" t="s">
        <v>1941</v>
      </c>
      <c r="H235" s="1">
        <v>96825.0</v>
      </c>
      <c r="I235" s="3" t="s">
        <v>1951</v>
      </c>
    </row>
    <row r="236" ht="15.75" customHeight="1">
      <c r="A236" s="1" t="s">
        <v>497</v>
      </c>
      <c r="B236" s="1" t="s">
        <v>3020</v>
      </c>
      <c r="C236" s="1" t="s">
        <v>3021</v>
      </c>
      <c r="D236" s="1" t="s">
        <v>3022</v>
      </c>
      <c r="E236" s="1" t="s">
        <v>3023</v>
      </c>
      <c r="F236" s="1" t="s">
        <v>2037</v>
      </c>
      <c r="G236" s="1" t="s">
        <v>1941</v>
      </c>
      <c r="H236" s="1">
        <v>10150.0</v>
      </c>
      <c r="I236" s="3" t="s">
        <v>1951</v>
      </c>
    </row>
    <row r="237" ht="15.75" customHeight="1">
      <c r="A237" s="1" t="s">
        <v>499</v>
      </c>
      <c r="B237" s="1" t="s">
        <v>3024</v>
      </c>
      <c r="C237" s="1"/>
      <c r="D237" s="1"/>
      <c r="E237" s="1" t="s">
        <v>3025</v>
      </c>
      <c r="F237" s="1" t="s">
        <v>3026</v>
      </c>
      <c r="G237" s="1" t="s">
        <v>1949</v>
      </c>
      <c r="H237" s="1" t="s">
        <v>3027</v>
      </c>
      <c r="I237" s="3" t="s">
        <v>1951</v>
      </c>
    </row>
    <row r="238" ht="15.75" customHeight="1">
      <c r="A238" s="1" t="s">
        <v>501</v>
      </c>
      <c r="B238" s="1" t="s">
        <v>3028</v>
      </c>
      <c r="C238" s="1" t="s">
        <v>3029</v>
      </c>
      <c r="D238" s="1" t="s">
        <v>3030</v>
      </c>
      <c r="E238" s="1" t="s">
        <v>3031</v>
      </c>
      <c r="F238" s="1" t="s">
        <v>3032</v>
      </c>
      <c r="G238" s="1" t="s">
        <v>1949</v>
      </c>
      <c r="H238" s="1" t="s">
        <v>3033</v>
      </c>
      <c r="I238" s="3" t="s">
        <v>1951</v>
      </c>
    </row>
    <row r="239" ht="15.75" customHeight="1">
      <c r="A239" s="1" t="s">
        <v>503</v>
      </c>
      <c r="B239" s="1" t="s">
        <v>3034</v>
      </c>
      <c r="C239" s="1"/>
      <c r="D239" s="1" t="s">
        <v>3035</v>
      </c>
      <c r="E239" s="1" t="s">
        <v>3036</v>
      </c>
      <c r="F239" s="1" t="s">
        <v>3037</v>
      </c>
      <c r="G239" s="1" t="s">
        <v>1941</v>
      </c>
      <c r="H239" s="1">
        <v>45218.0</v>
      </c>
      <c r="I239" s="3" t="s">
        <v>1942</v>
      </c>
    </row>
    <row r="240" ht="15.75" customHeight="1">
      <c r="A240" s="1" t="s">
        <v>505</v>
      </c>
      <c r="B240" s="1" t="s">
        <v>3038</v>
      </c>
      <c r="C240" s="1" t="s">
        <v>3039</v>
      </c>
      <c r="D240" s="1" t="s">
        <v>3040</v>
      </c>
      <c r="E240" s="1" t="s">
        <v>3041</v>
      </c>
      <c r="F240" s="1" t="s">
        <v>2320</v>
      </c>
      <c r="G240" s="1" t="s">
        <v>1941</v>
      </c>
      <c r="H240" s="1">
        <v>48670.0</v>
      </c>
      <c r="I240" s="3" t="s">
        <v>1942</v>
      </c>
    </row>
    <row r="241" ht="15.75" customHeight="1">
      <c r="A241" s="1" t="s">
        <v>507</v>
      </c>
      <c r="B241" s="1" t="s">
        <v>3042</v>
      </c>
      <c r="C241" s="1" t="s">
        <v>3043</v>
      </c>
      <c r="D241" s="1" t="s">
        <v>3044</v>
      </c>
      <c r="E241" s="1" t="s">
        <v>3045</v>
      </c>
      <c r="F241" s="1" t="s">
        <v>3046</v>
      </c>
      <c r="G241" s="1" t="s">
        <v>1941</v>
      </c>
      <c r="H241" s="1">
        <v>82007.0</v>
      </c>
      <c r="I241" s="3" t="s">
        <v>1951</v>
      </c>
    </row>
    <row r="242" ht="15.75" customHeight="1">
      <c r="A242" s="1" t="s">
        <v>509</v>
      </c>
      <c r="B242" s="1" t="s">
        <v>3047</v>
      </c>
      <c r="C242" s="1"/>
      <c r="D242" s="1"/>
      <c r="E242" s="1" t="s">
        <v>3048</v>
      </c>
      <c r="F242" s="1" t="s">
        <v>3049</v>
      </c>
      <c r="G242" s="1" t="s">
        <v>1941</v>
      </c>
      <c r="H242" s="1">
        <v>31119.0</v>
      </c>
      <c r="I242" s="3" t="s">
        <v>1942</v>
      </c>
    </row>
    <row r="243" ht="15.75" customHeight="1">
      <c r="A243" s="1" t="s">
        <v>511</v>
      </c>
      <c r="B243" s="1" t="s">
        <v>3050</v>
      </c>
      <c r="C243" s="1"/>
      <c r="D243" s="1" t="s">
        <v>3051</v>
      </c>
      <c r="E243" s="1" t="s">
        <v>3052</v>
      </c>
      <c r="F243" s="1" t="s">
        <v>3053</v>
      </c>
      <c r="G243" s="1" t="s">
        <v>1941</v>
      </c>
      <c r="H243" s="1">
        <v>30096.0</v>
      </c>
      <c r="I243" s="3" t="s">
        <v>1951</v>
      </c>
    </row>
    <row r="244" ht="15.75" customHeight="1">
      <c r="A244" s="1" t="s">
        <v>513</v>
      </c>
      <c r="B244" s="1" t="s">
        <v>3054</v>
      </c>
      <c r="C244" s="1" t="s">
        <v>3055</v>
      </c>
      <c r="D244" s="1" t="s">
        <v>3056</v>
      </c>
      <c r="E244" s="1" t="s">
        <v>3057</v>
      </c>
      <c r="F244" s="1" t="s">
        <v>2999</v>
      </c>
      <c r="G244" s="1" t="s">
        <v>1941</v>
      </c>
      <c r="H244" s="1">
        <v>94250.0</v>
      </c>
      <c r="I244" s="3" t="s">
        <v>1942</v>
      </c>
    </row>
    <row r="245" ht="15.75" customHeight="1">
      <c r="A245" s="1" t="s">
        <v>515</v>
      </c>
      <c r="B245" s="1" t="s">
        <v>3058</v>
      </c>
      <c r="C245" s="1" t="s">
        <v>3059</v>
      </c>
      <c r="D245" s="1" t="s">
        <v>3060</v>
      </c>
      <c r="E245" s="1" t="s">
        <v>3061</v>
      </c>
      <c r="F245" s="1" t="s">
        <v>2220</v>
      </c>
      <c r="G245" s="1" t="s">
        <v>1941</v>
      </c>
      <c r="H245" s="1">
        <v>33661.0</v>
      </c>
      <c r="I245" s="3" t="s">
        <v>1942</v>
      </c>
    </row>
    <row r="246" ht="15.75" customHeight="1">
      <c r="A246" s="1" t="s">
        <v>517</v>
      </c>
      <c r="B246" s="1" t="s">
        <v>3062</v>
      </c>
      <c r="C246" s="1" t="s">
        <v>3063</v>
      </c>
      <c r="D246" s="1" t="s">
        <v>3064</v>
      </c>
      <c r="E246" s="1" t="s">
        <v>3065</v>
      </c>
      <c r="F246" s="1" t="s">
        <v>2592</v>
      </c>
      <c r="G246" s="1" t="s">
        <v>1941</v>
      </c>
      <c r="H246" s="1">
        <v>96805.0</v>
      </c>
      <c r="I246" s="3" t="s">
        <v>1951</v>
      </c>
    </row>
    <row r="247" ht="15.75" customHeight="1">
      <c r="A247" s="1" t="s">
        <v>519</v>
      </c>
      <c r="B247" s="1" t="s">
        <v>3066</v>
      </c>
      <c r="C247" s="1" t="s">
        <v>3067</v>
      </c>
      <c r="D247" s="1" t="s">
        <v>3068</v>
      </c>
      <c r="E247" s="1" t="s">
        <v>3069</v>
      </c>
      <c r="F247" s="1" t="s">
        <v>3070</v>
      </c>
      <c r="G247" s="1" t="s">
        <v>1941</v>
      </c>
      <c r="H247" s="1">
        <v>70820.0</v>
      </c>
      <c r="I247" s="3" t="s">
        <v>1942</v>
      </c>
    </row>
    <row r="248" ht="15.75" customHeight="1">
      <c r="A248" s="1" t="s">
        <v>521</v>
      </c>
      <c r="B248" s="1" t="s">
        <v>3071</v>
      </c>
      <c r="C248" s="1" t="s">
        <v>3072</v>
      </c>
      <c r="D248" s="1" t="s">
        <v>3073</v>
      </c>
      <c r="E248" s="1" t="s">
        <v>3074</v>
      </c>
      <c r="F248" s="1" t="s">
        <v>3075</v>
      </c>
      <c r="G248" s="1" t="s">
        <v>2116</v>
      </c>
      <c r="H248" s="1" t="s">
        <v>3076</v>
      </c>
      <c r="I248" s="3" t="s">
        <v>1951</v>
      </c>
    </row>
    <row r="249" ht="15.75" customHeight="1">
      <c r="A249" s="1" t="s">
        <v>523</v>
      </c>
      <c r="B249" s="1" t="s">
        <v>3077</v>
      </c>
      <c r="C249" s="1"/>
      <c r="D249" s="1" t="s">
        <v>3078</v>
      </c>
      <c r="E249" s="1" t="s">
        <v>3079</v>
      </c>
      <c r="F249" s="1" t="s">
        <v>3080</v>
      </c>
      <c r="G249" s="1" t="s">
        <v>1949</v>
      </c>
      <c r="H249" s="1" t="s">
        <v>3081</v>
      </c>
      <c r="I249" s="3" t="s">
        <v>1942</v>
      </c>
    </row>
    <row r="250" ht="15.75" customHeight="1">
      <c r="A250" s="1" t="s">
        <v>525</v>
      </c>
      <c r="B250" s="1" t="s">
        <v>3082</v>
      </c>
      <c r="C250" s="1" t="s">
        <v>3083</v>
      </c>
      <c r="D250" s="1" t="s">
        <v>3084</v>
      </c>
      <c r="E250" s="1" t="s">
        <v>3085</v>
      </c>
      <c r="F250" s="1" t="s">
        <v>2137</v>
      </c>
      <c r="G250" s="1" t="s">
        <v>1941</v>
      </c>
      <c r="H250" s="1">
        <v>55458.0</v>
      </c>
      <c r="I250" s="3" t="s">
        <v>1942</v>
      </c>
    </row>
    <row r="251" ht="15.75" customHeight="1">
      <c r="A251" s="1" t="s">
        <v>3086</v>
      </c>
      <c r="B251" s="1" t="s">
        <v>3087</v>
      </c>
      <c r="C251" s="1"/>
      <c r="D251" s="1" t="s">
        <v>3088</v>
      </c>
      <c r="E251" s="1" t="s">
        <v>3089</v>
      </c>
      <c r="F251" s="1" t="s">
        <v>3090</v>
      </c>
      <c r="G251" s="1" t="s">
        <v>1941</v>
      </c>
      <c r="H251" s="1">
        <v>94159.0</v>
      </c>
      <c r="I251" s="3" t="s">
        <v>1951</v>
      </c>
    </row>
    <row r="252" ht="15.75" customHeight="1">
      <c r="A252" s="1" t="s">
        <v>529</v>
      </c>
      <c r="B252" s="1" t="s">
        <v>3091</v>
      </c>
      <c r="C252" s="1" t="s">
        <v>3092</v>
      </c>
      <c r="D252" s="1" t="s">
        <v>3093</v>
      </c>
      <c r="E252" s="1" t="s">
        <v>3094</v>
      </c>
      <c r="F252" s="1" t="s">
        <v>2300</v>
      </c>
      <c r="G252" s="1" t="s">
        <v>1941</v>
      </c>
      <c r="H252" s="1">
        <v>28225.0</v>
      </c>
      <c r="I252" s="3" t="s">
        <v>1942</v>
      </c>
    </row>
    <row r="253" ht="15.75" customHeight="1">
      <c r="A253" s="1" t="s">
        <v>531</v>
      </c>
      <c r="B253" s="1" t="s">
        <v>3095</v>
      </c>
      <c r="C253" s="1" t="s">
        <v>3096</v>
      </c>
      <c r="D253" s="1" t="s">
        <v>3097</v>
      </c>
      <c r="E253" s="1" t="s">
        <v>3098</v>
      </c>
      <c r="F253" s="1" t="s">
        <v>3099</v>
      </c>
      <c r="G253" s="1" t="s">
        <v>1941</v>
      </c>
      <c r="H253" s="1">
        <v>85099.0</v>
      </c>
      <c r="I253" s="3" t="s">
        <v>1942</v>
      </c>
    </row>
    <row r="254" ht="15.75" customHeight="1">
      <c r="A254" s="1" t="s">
        <v>533</v>
      </c>
      <c r="B254" s="1" t="s">
        <v>3100</v>
      </c>
      <c r="C254" s="1"/>
      <c r="D254" s="1" t="s">
        <v>3101</v>
      </c>
      <c r="E254" s="1" t="s">
        <v>3102</v>
      </c>
      <c r="F254" s="1" t="s">
        <v>2099</v>
      </c>
      <c r="G254" s="1" t="s">
        <v>1941</v>
      </c>
      <c r="H254" s="1">
        <v>11407.0</v>
      </c>
      <c r="I254" s="3" t="s">
        <v>1951</v>
      </c>
    </row>
    <row r="255" ht="15.75" customHeight="1">
      <c r="A255" s="1" t="s">
        <v>535</v>
      </c>
      <c r="B255" s="1" t="s">
        <v>3103</v>
      </c>
      <c r="C255" s="1" t="s">
        <v>3104</v>
      </c>
      <c r="D255" s="1" t="s">
        <v>3105</v>
      </c>
      <c r="E255" s="1" t="s">
        <v>3106</v>
      </c>
      <c r="F255" s="1" t="s">
        <v>3107</v>
      </c>
      <c r="G255" s="1" t="s">
        <v>1941</v>
      </c>
      <c r="H255" s="1">
        <v>61825.0</v>
      </c>
      <c r="I255" s="3" t="s">
        <v>1951</v>
      </c>
    </row>
    <row r="256" ht="15.75" customHeight="1">
      <c r="A256" s="1" t="s">
        <v>537</v>
      </c>
      <c r="B256" s="1" t="s">
        <v>3108</v>
      </c>
      <c r="C256" s="1" t="s">
        <v>3109</v>
      </c>
      <c r="D256" s="1"/>
      <c r="E256" s="1" t="s">
        <v>3110</v>
      </c>
      <c r="F256" s="1" t="s">
        <v>3111</v>
      </c>
      <c r="G256" s="1" t="s">
        <v>2116</v>
      </c>
      <c r="H256" s="1" t="s">
        <v>3112</v>
      </c>
      <c r="I256" s="3" t="s">
        <v>1951</v>
      </c>
    </row>
    <row r="257" ht="15.75" customHeight="1">
      <c r="A257" s="1" t="s">
        <v>539</v>
      </c>
      <c r="B257" s="1" t="s">
        <v>3113</v>
      </c>
      <c r="C257" s="1" t="s">
        <v>3114</v>
      </c>
      <c r="D257" s="1" t="s">
        <v>3115</v>
      </c>
      <c r="E257" s="1" t="s">
        <v>3116</v>
      </c>
      <c r="F257" s="1" t="s">
        <v>2140</v>
      </c>
      <c r="G257" s="1" t="s">
        <v>1941</v>
      </c>
      <c r="H257" s="1">
        <v>85715.0</v>
      </c>
      <c r="I257" s="3" t="s">
        <v>1951</v>
      </c>
    </row>
    <row r="258" ht="15.75" customHeight="1">
      <c r="A258" s="1" t="s">
        <v>527</v>
      </c>
      <c r="B258" s="1" t="s">
        <v>3117</v>
      </c>
      <c r="C258" s="1" t="s">
        <v>3118</v>
      </c>
      <c r="D258" s="1" t="s">
        <v>3119</v>
      </c>
      <c r="E258" s="1" t="s">
        <v>3120</v>
      </c>
      <c r="F258" s="1" t="s">
        <v>3121</v>
      </c>
      <c r="G258" s="1" t="s">
        <v>1941</v>
      </c>
      <c r="H258" s="1">
        <v>53205.0</v>
      </c>
      <c r="I258" s="3" t="s">
        <v>1942</v>
      </c>
    </row>
    <row r="259" ht="15.75" customHeight="1">
      <c r="A259" s="1" t="s">
        <v>542</v>
      </c>
      <c r="B259" s="1" t="s">
        <v>3122</v>
      </c>
      <c r="C259" s="1" t="s">
        <v>3123</v>
      </c>
      <c r="D259" s="1" t="s">
        <v>3124</v>
      </c>
      <c r="E259" s="1" t="s">
        <v>3125</v>
      </c>
      <c r="F259" s="1" t="s">
        <v>2861</v>
      </c>
      <c r="G259" s="1" t="s">
        <v>1941</v>
      </c>
      <c r="H259" s="1">
        <v>33064.0</v>
      </c>
      <c r="I259" s="3" t="s">
        <v>1942</v>
      </c>
    </row>
    <row r="260" ht="15.75" customHeight="1">
      <c r="A260" s="1" t="s">
        <v>545</v>
      </c>
      <c r="B260" s="1" t="s">
        <v>3126</v>
      </c>
      <c r="C260" s="1" t="s">
        <v>3127</v>
      </c>
      <c r="D260" s="1" t="s">
        <v>3128</v>
      </c>
      <c r="E260" s="1" t="s">
        <v>3129</v>
      </c>
      <c r="F260" s="1" t="s">
        <v>2758</v>
      </c>
      <c r="G260" s="1" t="s">
        <v>1941</v>
      </c>
      <c r="H260" s="1">
        <v>90610.0</v>
      </c>
      <c r="I260" s="3" t="s">
        <v>1951</v>
      </c>
    </row>
    <row r="261" ht="15.75" customHeight="1">
      <c r="A261" s="1" t="s">
        <v>547</v>
      </c>
      <c r="B261" s="1" t="s">
        <v>3130</v>
      </c>
      <c r="C261" s="1" t="s">
        <v>3131</v>
      </c>
      <c r="D261" s="1" t="s">
        <v>3132</v>
      </c>
      <c r="E261" s="1" t="s">
        <v>3133</v>
      </c>
      <c r="F261" s="1" t="s">
        <v>3134</v>
      </c>
      <c r="G261" s="1" t="s">
        <v>2116</v>
      </c>
      <c r="H261" s="1" t="s">
        <v>3135</v>
      </c>
      <c r="I261" s="3" t="s">
        <v>1951</v>
      </c>
    </row>
    <row r="262" ht="15.75" customHeight="1">
      <c r="A262" s="1" t="s">
        <v>549</v>
      </c>
      <c r="B262" s="1" t="s">
        <v>3136</v>
      </c>
      <c r="C262" s="1" t="s">
        <v>3137</v>
      </c>
      <c r="D262" s="1"/>
      <c r="E262" s="1" t="s">
        <v>3138</v>
      </c>
      <c r="F262" s="1" t="s">
        <v>2013</v>
      </c>
      <c r="G262" s="1" t="s">
        <v>1941</v>
      </c>
      <c r="H262" s="1">
        <v>63180.0</v>
      </c>
      <c r="I262" s="3" t="s">
        <v>1942</v>
      </c>
    </row>
    <row r="263" ht="15.75" customHeight="1">
      <c r="A263" s="1" t="s">
        <v>551</v>
      </c>
      <c r="B263" s="1" t="s">
        <v>3139</v>
      </c>
      <c r="C263" s="1" t="s">
        <v>3140</v>
      </c>
      <c r="D263" s="1" t="s">
        <v>3141</v>
      </c>
      <c r="E263" s="1" t="s">
        <v>3142</v>
      </c>
      <c r="F263" s="1" t="s">
        <v>3143</v>
      </c>
      <c r="G263" s="1" t="s">
        <v>1941</v>
      </c>
      <c r="H263" s="1">
        <v>16522.0</v>
      </c>
      <c r="I263" s="3" t="s">
        <v>1942</v>
      </c>
    </row>
    <row r="264" ht="15.75" customHeight="1">
      <c r="A264" s="1" t="s">
        <v>553</v>
      </c>
      <c r="B264" s="1" t="s">
        <v>3144</v>
      </c>
      <c r="C264" s="1" t="s">
        <v>3145</v>
      </c>
      <c r="D264" s="1" t="s">
        <v>3146</v>
      </c>
      <c r="E264" s="1" t="s">
        <v>3147</v>
      </c>
      <c r="F264" s="1" t="s">
        <v>3148</v>
      </c>
      <c r="G264" s="1" t="s">
        <v>1941</v>
      </c>
      <c r="H264" s="1">
        <v>98464.0</v>
      </c>
      <c r="I264" s="3" t="s">
        <v>1951</v>
      </c>
    </row>
    <row r="265" ht="15.75" customHeight="1">
      <c r="A265" s="1" t="s">
        <v>555</v>
      </c>
      <c r="B265" s="1" t="s">
        <v>3149</v>
      </c>
      <c r="C265" s="1"/>
      <c r="D265" s="1" t="s">
        <v>3150</v>
      </c>
      <c r="E265" s="1" t="s">
        <v>3151</v>
      </c>
      <c r="F265" s="1" t="s">
        <v>2004</v>
      </c>
      <c r="G265" s="1" t="s">
        <v>1941</v>
      </c>
      <c r="H265" s="1">
        <v>23277.0</v>
      </c>
      <c r="I265" s="3" t="s">
        <v>1951</v>
      </c>
    </row>
    <row r="266" ht="15.75" customHeight="1">
      <c r="A266" s="1" t="s">
        <v>557</v>
      </c>
      <c r="B266" s="1" t="s">
        <v>3152</v>
      </c>
      <c r="C266" s="1"/>
      <c r="D266" s="1" t="s">
        <v>3153</v>
      </c>
      <c r="E266" s="1" t="s">
        <v>3154</v>
      </c>
      <c r="F266" s="1" t="s">
        <v>3155</v>
      </c>
      <c r="G266" s="1" t="s">
        <v>1949</v>
      </c>
      <c r="H266" s="1" t="s">
        <v>2545</v>
      </c>
      <c r="I266" s="3" t="s">
        <v>1942</v>
      </c>
    </row>
    <row r="267" ht="15.75" customHeight="1">
      <c r="A267" s="1" t="s">
        <v>559</v>
      </c>
      <c r="B267" s="1" t="s">
        <v>3156</v>
      </c>
      <c r="C267" s="1" t="s">
        <v>3157</v>
      </c>
      <c r="D267" s="1" t="s">
        <v>3158</v>
      </c>
      <c r="E267" s="1" t="s">
        <v>3159</v>
      </c>
      <c r="F267" s="1" t="s">
        <v>2127</v>
      </c>
      <c r="G267" s="1" t="s">
        <v>1941</v>
      </c>
      <c r="H267" s="1">
        <v>72204.0</v>
      </c>
      <c r="I267" s="3" t="s">
        <v>1942</v>
      </c>
    </row>
    <row r="268" ht="15.75" customHeight="1">
      <c r="A268" s="1" t="s">
        <v>561</v>
      </c>
      <c r="B268" s="1" t="s">
        <v>3160</v>
      </c>
      <c r="C268" s="1" t="s">
        <v>3161</v>
      </c>
      <c r="D268" s="1" t="s">
        <v>3162</v>
      </c>
      <c r="E268" s="1" t="s">
        <v>3163</v>
      </c>
      <c r="F268" s="1" t="s">
        <v>3164</v>
      </c>
      <c r="G268" s="1" t="s">
        <v>2116</v>
      </c>
      <c r="H268" s="1" t="s">
        <v>3165</v>
      </c>
      <c r="I268" s="3" t="s">
        <v>1951</v>
      </c>
    </row>
    <row r="269" ht="15.75" customHeight="1">
      <c r="A269" s="1" t="s">
        <v>563</v>
      </c>
      <c r="B269" s="1" t="s">
        <v>3166</v>
      </c>
      <c r="C269" s="1" t="s">
        <v>3167</v>
      </c>
      <c r="D269" s="1" t="s">
        <v>3168</v>
      </c>
      <c r="E269" s="1" t="s">
        <v>3169</v>
      </c>
      <c r="F269" s="1" t="s">
        <v>2748</v>
      </c>
      <c r="G269" s="1" t="s">
        <v>1941</v>
      </c>
      <c r="H269" s="1">
        <v>89436.0</v>
      </c>
      <c r="I269" s="3" t="s">
        <v>1942</v>
      </c>
    </row>
    <row r="270" ht="15.75" customHeight="1">
      <c r="A270" s="1" t="s">
        <v>3170</v>
      </c>
      <c r="B270" s="1" t="s">
        <v>3171</v>
      </c>
      <c r="C270" s="1"/>
      <c r="D270" s="1" t="s">
        <v>3172</v>
      </c>
      <c r="E270" s="1" t="s">
        <v>3173</v>
      </c>
      <c r="F270" s="1" t="s">
        <v>3174</v>
      </c>
      <c r="G270" s="1" t="s">
        <v>1941</v>
      </c>
      <c r="H270" s="1">
        <v>77806.0</v>
      </c>
      <c r="I270" s="3" t="s">
        <v>1942</v>
      </c>
    </row>
    <row r="271" ht="15.75" customHeight="1">
      <c r="A271" s="1" t="s">
        <v>566</v>
      </c>
      <c r="B271" s="1" t="s">
        <v>3175</v>
      </c>
      <c r="C271" s="1" t="s">
        <v>3176</v>
      </c>
      <c r="D271" s="1" t="s">
        <v>3177</v>
      </c>
      <c r="E271" s="1" t="s">
        <v>3178</v>
      </c>
      <c r="F271" s="1" t="s">
        <v>3179</v>
      </c>
      <c r="G271" s="1" t="s">
        <v>1941</v>
      </c>
      <c r="H271" s="1">
        <v>76210.0</v>
      </c>
      <c r="I271" s="3" t="s">
        <v>1951</v>
      </c>
    </row>
    <row r="272" ht="15.75" customHeight="1">
      <c r="A272" s="1" t="s">
        <v>568</v>
      </c>
      <c r="B272" s="1" t="s">
        <v>3180</v>
      </c>
      <c r="C272" s="1"/>
      <c r="D272" s="1"/>
      <c r="E272" s="1" t="s">
        <v>3181</v>
      </c>
      <c r="F272" s="1" t="s">
        <v>3182</v>
      </c>
      <c r="G272" s="1" t="s">
        <v>1949</v>
      </c>
      <c r="H272" s="1" t="s">
        <v>3183</v>
      </c>
      <c r="I272" s="3" t="s">
        <v>1942</v>
      </c>
    </row>
    <row r="273" ht="15.75" customHeight="1">
      <c r="A273" s="1" t="s">
        <v>570</v>
      </c>
      <c r="B273" s="1" t="s">
        <v>3184</v>
      </c>
      <c r="C273" s="1" t="s">
        <v>3185</v>
      </c>
      <c r="D273" s="1" t="s">
        <v>3186</v>
      </c>
      <c r="E273" s="1" t="s">
        <v>3187</v>
      </c>
      <c r="F273" s="1" t="s">
        <v>3188</v>
      </c>
      <c r="G273" s="1" t="s">
        <v>1941</v>
      </c>
      <c r="H273" s="1">
        <v>27635.0</v>
      </c>
      <c r="I273" s="3" t="s">
        <v>1942</v>
      </c>
    </row>
    <row r="274" ht="15.75" customHeight="1">
      <c r="A274" s="1" t="s">
        <v>572</v>
      </c>
      <c r="B274" s="1" t="s">
        <v>3189</v>
      </c>
      <c r="C274" s="1" t="s">
        <v>3190</v>
      </c>
      <c r="D274" s="1" t="s">
        <v>3191</v>
      </c>
      <c r="E274" s="1" t="s">
        <v>3192</v>
      </c>
      <c r="F274" s="1" t="s">
        <v>3193</v>
      </c>
      <c r="G274" s="1" t="s">
        <v>1949</v>
      </c>
      <c r="H274" s="1" t="s">
        <v>3194</v>
      </c>
      <c r="I274" s="3" t="s">
        <v>1942</v>
      </c>
    </row>
    <row r="275" ht="15.75" customHeight="1">
      <c r="A275" s="1" t="s">
        <v>574</v>
      </c>
      <c r="B275" s="1" t="s">
        <v>3195</v>
      </c>
      <c r="C275" s="1" t="s">
        <v>3196</v>
      </c>
      <c r="D275" s="1" t="s">
        <v>3197</v>
      </c>
      <c r="E275" s="1" t="s">
        <v>3198</v>
      </c>
      <c r="F275" s="1" t="s">
        <v>2037</v>
      </c>
      <c r="G275" s="1" t="s">
        <v>1941</v>
      </c>
      <c r="H275" s="1">
        <v>10105.0</v>
      </c>
      <c r="I275" s="3" t="s">
        <v>1951</v>
      </c>
    </row>
    <row r="276" ht="15.75" customHeight="1">
      <c r="A276" s="1" t="s">
        <v>576</v>
      </c>
      <c r="B276" s="1" t="s">
        <v>3199</v>
      </c>
      <c r="C276" s="1" t="s">
        <v>3200</v>
      </c>
      <c r="D276" s="1" t="s">
        <v>3201</v>
      </c>
      <c r="E276" s="1" t="s">
        <v>3202</v>
      </c>
      <c r="F276" s="1" t="s">
        <v>2525</v>
      </c>
      <c r="G276" s="1" t="s">
        <v>1941</v>
      </c>
      <c r="H276" s="1">
        <v>6905.0</v>
      </c>
      <c r="I276" s="3" t="s">
        <v>1951</v>
      </c>
    </row>
    <row r="277" ht="15.75" customHeight="1">
      <c r="A277" s="1" t="s">
        <v>578</v>
      </c>
      <c r="B277" s="1" t="s">
        <v>3203</v>
      </c>
      <c r="C277" s="1" t="s">
        <v>3204</v>
      </c>
      <c r="D277" s="1" t="s">
        <v>3205</v>
      </c>
      <c r="E277" s="1" t="s">
        <v>3206</v>
      </c>
      <c r="F277" s="1" t="s">
        <v>2211</v>
      </c>
      <c r="G277" s="1" t="s">
        <v>1941</v>
      </c>
      <c r="H277" s="1">
        <v>43666.0</v>
      </c>
      <c r="I277" s="3" t="s">
        <v>1951</v>
      </c>
    </row>
    <row r="278" ht="15.75" customHeight="1">
      <c r="A278" s="1" t="s">
        <v>580</v>
      </c>
      <c r="B278" s="1" t="s">
        <v>3207</v>
      </c>
      <c r="C278" s="1" t="s">
        <v>3208</v>
      </c>
      <c r="D278" s="1" t="s">
        <v>3209</v>
      </c>
      <c r="E278" s="1" t="s">
        <v>3210</v>
      </c>
      <c r="F278" s="1" t="s">
        <v>3211</v>
      </c>
      <c r="G278" s="1" t="s">
        <v>1949</v>
      </c>
      <c r="H278" s="1" t="s">
        <v>3212</v>
      </c>
      <c r="I278" s="3" t="s">
        <v>1942</v>
      </c>
    </row>
    <row r="279" ht="15.75" customHeight="1">
      <c r="A279" s="1" t="s">
        <v>582</v>
      </c>
      <c r="B279" s="1" t="s">
        <v>3213</v>
      </c>
      <c r="C279" s="1" t="s">
        <v>3214</v>
      </c>
      <c r="D279" s="1" t="s">
        <v>3215</v>
      </c>
      <c r="E279" s="1" t="s">
        <v>3216</v>
      </c>
      <c r="F279" s="1" t="s">
        <v>3217</v>
      </c>
      <c r="G279" s="1" t="s">
        <v>1941</v>
      </c>
      <c r="H279" s="1">
        <v>65211.0</v>
      </c>
      <c r="I279" s="3" t="s">
        <v>1951</v>
      </c>
    </row>
    <row r="280" ht="15.75" customHeight="1">
      <c r="A280" s="1" t="s">
        <v>584</v>
      </c>
      <c r="B280" s="1" t="s">
        <v>3218</v>
      </c>
      <c r="C280" s="1" t="s">
        <v>3219</v>
      </c>
      <c r="D280" s="1" t="s">
        <v>3220</v>
      </c>
      <c r="E280" s="1" t="s">
        <v>3221</v>
      </c>
      <c r="F280" s="1" t="s">
        <v>2238</v>
      </c>
      <c r="G280" s="1" t="s">
        <v>1941</v>
      </c>
      <c r="H280" s="1">
        <v>46852.0</v>
      </c>
      <c r="I280" s="3" t="s">
        <v>1942</v>
      </c>
    </row>
    <row r="281" ht="15.75" customHeight="1">
      <c r="A281" s="1" t="s">
        <v>586</v>
      </c>
      <c r="B281" s="1" t="s">
        <v>3222</v>
      </c>
      <c r="C281" s="1" t="s">
        <v>3223</v>
      </c>
      <c r="D281" s="1" t="s">
        <v>3224</v>
      </c>
      <c r="E281" s="1" t="s">
        <v>3225</v>
      </c>
      <c r="F281" s="1" t="s">
        <v>2013</v>
      </c>
      <c r="G281" s="1" t="s">
        <v>1941</v>
      </c>
      <c r="H281" s="1">
        <v>63143.0</v>
      </c>
      <c r="I281" s="3" t="s">
        <v>1942</v>
      </c>
    </row>
    <row r="282" ht="15.75" customHeight="1">
      <c r="A282" s="1" t="s">
        <v>588</v>
      </c>
      <c r="B282" s="1" t="s">
        <v>3226</v>
      </c>
      <c r="C282" s="1"/>
      <c r="D282" s="1" t="s">
        <v>3227</v>
      </c>
      <c r="E282" s="1" t="s">
        <v>3228</v>
      </c>
      <c r="F282" s="1" t="s">
        <v>2022</v>
      </c>
      <c r="G282" s="1" t="s">
        <v>1941</v>
      </c>
      <c r="H282" s="1">
        <v>97211.0</v>
      </c>
      <c r="I282" s="3" t="s">
        <v>1942</v>
      </c>
    </row>
    <row r="283" ht="15.75" customHeight="1">
      <c r="A283" s="1" t="s">
        <v>590</v>
      </c>
      <c r="B283" s="1" t="s">
        <v>3229</v>
      </c>
      <c r="C283" s="1" t="s">
        <v>3230</v>
      </c>
      <c r="D283" s="1" t="s">
        <v>3231</v>
      </c>
      <c r="E283" s="1" t="s">
        <v>3232</v>
      </c>
      <c r="F283" s="1" t="s">
        <v>3233</v>
      </c>
      <c r="G283" s="1" t="s">
        <v>1941</v>
      </c>
      <c r="H283" s="1">
        <v>80305.0</v>
      </c>
      <c r="I283" s="3" t="s">
        <v>1942</v>
      </c>
    </row>
    <row r="284" ht="15.75" customHeight="1">
      <c r="A284" s="1" t="s">
        <v>592</v>
      </c>
      <c r="B284" s="1" t="s">
        <v>3234</v>
      </c>
      <c r="C284" s="1" t="s">
        <v>3235</v>
      </c>
      <c r="D284" s="1" t="s">
        <v>3236</v>
      </c>
      <c r="E284" s="1" t="s">
        <v>3237</v>
      </c>
      <c r="F284" s="1" t="s">
        <v>3238</v>
      </c>
      <c r="G284" s="1" t="s">
        <v>2116</v>
      </c>
      <c r="H284" s="1" t="s">
        <v>3239</v>
      </c>
      <c r="I284" s="3" t="s">
        <v>1951</v>
      </c>
    </row>
    <row r="285" ht="15.75" customHeight="1">
      <c r="A285" s="1" t="s">
        <v>594</v>
      </c>
      <c r="B285" s="1" t="s">
        <v>3240</v>
      </c>
      <c r="C285" s="1" t="s">
        <v>3241</v>
      </c>
      <c r="D285" s="1" t="s">
        <v>3242</v>
      </c>
      <c r="E285" s="1" t="s">
        <v>3243</v>
      </c>
      <c r="F285" s="1" t="s">
        <v>3134</v>
      </c>
      <c r="G285" s="1" t="s">
        <v>2116</v>
      </c>
      <c r="H285" s="1" t="s">
        <v>3135</v>
      </c>
      <c r="I285" s="3" t="s">
        <v>1942</v>
      </c>
    </row>
    <row r="286" ht="15.75" customHeight="1">
      <c r="A286" s="1" t="s">
        <v>596</v>
      </c>
      <c r="B286" s="1" t="s">
        <v>3244</v>
      </c>
      <c r="C286" s="1"/>
      <c r="D286" s="1" t="s">
        <v>3245</v>
      </c>
      <c r="E286" s="1" t="s">
        <v>3246</v>
      </c>
      <c r="F286" s="1" t="s">
        <v>3247</v>
      </c>
      <c r="G286" s="1" t="s">
        <v>1941</v>
      </c>
      <c r="H286" s="1">
        <v>40298.0</v>
      </c>
      <c r="I286" s="3" t="s">
        <v>1951</v>
      </c>
    </row>
    <row r="287" ht="15.75" customHeight="1">
      <c r="A287" s="1" t="s">
        <v>598</v>
      </c>
      <c r="B287" s="1" t="s">
        <v>3248</v>
      </c>
      <c r="C287" s="1"/>
      <c r="D287" s="1" t="s">
        <v>3249</v>
      </c>
      <c r="E287" s="1" t="s">
        <v>3250</v>
      </c>
      <c r="F287" s="1" t="s">
        <v>2350</v>
      </c>
      <c r="G287" s="1" t="s">
        <v>1941</v>
      </c>
      <c r="H287" s="1">
        <v>14276.0</v>
      </c>
      <c r="I287" s="3" t="s">
        <v>1951</v>
      </c>
    </row>
    <row r="288" ht="15.75" customHeight="1">
      <c r="A288" s="1" t="s">
        <v>600</v>
      </c>
      <c r="B288" s="1" t="s">
        <v>3251</v>
      </c>
      <c r="C288" s="1" t="s">
        <v>3252</v>
      </c>
      <c r="D288" s="1"/>
      <c r="E288" s="1" t="s">
        <v>3253</v>
      </c>
      <c r="F288" s="1" t="s">
        <v>3254</v>
      </c>
      <c r="G288" s="1" t="s">
        <v>1941</v>
      </c>
      <c r="H288" s="1">
        <v>44710.0</v>
      </c>
      <c r="I288" s="3" t="s">
        <v>1942</v>
      </c>
    </row>
    <row r="289" ht="15.75" customHeight="1">
      <c r="A289" s="1" t="s">
        <v>602</v>
      </c>
      <c r="B289" s="1" t="s">
        <v>3255</v>
      </c>
      <c r="C289" s="1" t="s">
        <v>3256</v>
      </c>
      <c r="D289" s="1" t="s">
        <v>3257</v>
      </c>
      <c r="E289" s="1" t="s">
        <v>3258</v>
      </c>
      <c r="F289" s="1" t="s">
        <v>2158</v>
      </c>
      <c r="G289" s="1" t="s">
        <v>1941</v>
      </c>
      <c r="H289" s="1">
        <v>2114.0</v>
      </c>
      <c r="I289" s="3" t="s">
        <v>1951</v>
      </c>
    </row>
    <row r="290" ht="15.75" customHeight="1">
      <c r="A290" s="1" t="s">
        <v>604</v>
      </c>
      <c r="B290" s="1" t="s">
        <v>3259</v>
      </c>
      <c r="C290" s="1"/>
      <c r="D290" s="1" t="s">
        <v>3260</v>
      </c>
      <c r="E290" s="1" t="s">
        <v>3261</v>
      </c>
      <c r="F290" s="1" t="s">
        <v>3262</v>
      </c>
      <c r="G290" s="1" t="s">
        <v>1949</v>
      </c>
      <c r="H290" s="1" t="s">
        <v>3263</v>
      </c>
      <c r="I290" s="3" t="s">
        <v>1942</v>
      </c>
    </row>
    <row r="291" ht="15.75" customHeight="1">
      <c r="A291" s="1" t="s">
        <v>606</v>
      </c>
      <c r="B291" s="1" t="s">
        <v>3264</v>
      </c>
      <c r="C291" s="1"/>
      <c r="D291" s="1"/>
      <c r="E291" s="1" t="s">
        <v>3265</v>
      </c>
      <c r="F291" s="1" t="s">
        <v>3266</v>
      </c>
      <c r="G291" s="1" t="s">
        <v>1941</v>
      </c>
      <c r="H291" s="1">
        <v>24515.0</v>
      </c>
      <c r="I291" s="3" t="s">
        <v>1942</v>
      </c>
    </row>
    <row r="292" ht="15.75" customHeight="1">
      <c r="A292" s="1" t="s">
        <v>608</v>
      </c>
      <c r="B292" s="1" t="s">
        <v>3267</v>
      </c>
      <c r="C292" s="1" t="s">
        <v>3268</v>
      </c>
      <c r="D292" s="1" t="s">
        <v>3269</v>
      </c>
      <c r="E292" s="1" t="s">
        <v>3270</v>
      </c>
      <c r="F292" s="1" t="s">
        <v>1986</v>
      </c>
      <c r="G292" s="1" t="s">
        <v>1941</v>
      </c>
      <c r="H292" s="1">
        <v>90071.0</v>
      </c>
      <c r="I292" s="3" t="s">
        <v>1951</v>
      </c>
    </row>
    <row r="293" ht="15.75" customHeight="1">
      <c r="A293" s="1" t="s">
        <v>610</v>
      </c>
      <c r="B293" s="1" t="s">
        <v>3271</v>
      </c>
      <c r="C293" s="1"/>
      <c r="D293" s="1"/>
      <c r="E293" s="1" t="s">
        <v>3272</v>
      </c>
      <c r="F293" s="1" t="s">
        <v>2535</v>
      </c>
      <c r="G293" s="1" t="s">
        <v>1949</v>
      </c>
      <c r="H293" s="1" t="s">
        <v>2536</v>
      </c>
      <c r="I293" s="3" t="s">
        <v>1951</v>
      </c>
    </row>
    <row r="294" ht="15.75" customHeight="1">
      <c r="A294" s="1" t="s">
        <v>612</v>
      </c>
      <c r="B294" s="1" t="s">
        <v>3273</v>
      </c>
      <c r="C294" s="1" t="s">
        <v>3274</v>
      </c>
      <c r="D294" s="1"/>
      <c r="E294" s="1" t="s">
        <v>3275</v>
      </c>
      <c r="F294" s="1" t="s">
        <v>2172</v>
      </c>
      <c r="G294" s="1" t="s">
        <v>1941</v>
      </c>
      <c r="H294" s="1">
        <v>35236.0</v>
      </c>
      <c r="I294" s="3" t="s">
        <v>1951</v>
      </c>
    </row>
    <row r="295" ht="15.75" customHeight="1">
      <c r="A295" s="1" t="s">
        <v>614</v>
      </c>
      <c r="B295" s="1" t="s">
        <v>3276</v>
      </c>
      <c r="C295" s="1" t="s">
        <v>3277</v>
      </c>
      <c r="D295" s="1" t="s">
        <v>3278</v>
      </c>
      <c r="E295" s="1" t="s">
        <v>3279</v>
      </c>
      <c r="F295" s="1" t="s">
        <v>2699</v>
      </c>
      <c r="G295" s="1" t="s">
        <v>1941</v>
      </c>
      <c r="H295" s="1">
        <v>22309.0</v>
      </c>
      <c r="I295" s="3" t="s">
        <v>1951</v>
      </c>
    </row>
    <row r="296" ht="15.75" customHeight="1">
      <c r="A296" s="1" t="s">
        <v>616</v>
      </c>
      <c r="B296" s="1" t="s">
        <v>3280</v>
      </c>
      <c r="C296" s="1"/>
      <c r="D296" s="1" t="s">
        <v>3281</v>
      </c>
      <c r="E296" s="1" t="s">
        <v>3282</v>
      </c>
      <c r="F296" s="1" t="s">
        <v>3283</v>
      </c>
      <c r="G296" s="1" t="s">
        <v>1941</v>
      </c>
      <c r="H296" s="1">
        <v>6816.0</v>
      </c>
      <c r="I296" s="3" t="s">
        <v>1951</v>
      </c>
    </row>
    <row r="297" ht="15.75" customHeight="1">
      <c r="A297" s="1" t="s">
        <v>618</v>
      </c>
      <c r="B297" s="1" t="s">
        <v>3284</v>
      </c>
      <c r="C297" s="1"/>
      <c r="D297" s="1"/>
      <c r="E297" s="1" t="s">
        <v>3285</v>
      </c>
      <c r="F297" s="1" t="s">
        <v>2881</v>
      </c>
      <c r="G297" s="1" t="s">
        <v>1941</v>
      </c>
      <c r="H297" s="1">
        <v>12205.0</v>
      </c>
      <c r="I297" s="3" t="s">
        <v>1951</v>
      </c>
    </row>
    <row r="298" ht="15.75" customHeight="1">
      <c r="A298" s="1" t="s">
        <v>620</v>
      </c>
      <c r="B298" s="1" t="s">
        <v>3286</v>
      </c>
      <c r="C298" s="1" t="s">
        <v>3287</v>
      </c>
      <c r="D298" s="1" t="s">
        <v>3288</v>
      </c>
      <c r="E298" s="1" t="s">
        <v>3289</v>
      </c>
      <c r="F298" s="1" t="s">
        <v>2247</v>
      </c>
      <c r="G298" s="1" t="s">
        <v>1941</v>
      </c>
      <c r="H298" s="1">
        <v>34108.0</v>
      </c>
      <c r="I298" s="3" t="s">
        <v>1942</v>
      </c>
    </row>
    <row r="299" ht="15.75" customHeight="1">
      <c r="A299" s="1" t="s">
        <v>622</v>
      </c>
      <c r="B299" s="1" t="s">
        <v>3290</v>
      </c>
      <c r="C299" s="1" t="s">
        <v>3291</v>
      </c>
      <c r="D299" s="1" t="s">
        <v>3292</v>
      </c>
      <c r="E299" s="1" t="s">
        <v>3293</v>
      </c>
      <c r="F299" s="1" t="s">
        <v>3294</v>
      </c>
      <c r="G299" s="1" t="s">
        <v>1941</v>
      </c>
      <c r="H299" s="1">
        <v>33141.0</v>
      </c>
      <c r="I299" s="3" t="s">
        <v>1942</v>
      </c>
    </row>
    <row r="300" ht="15.75" customHeight="1">
      <c r="A300" s="1" t="s">
        <v>624</v>
      </c>
      <c r="B300" s="1" t="s">
        <v>3295</v>
      </c>
      <c r="C300" s="1" t="s">
        <v>3296</v>
      </c>
      <c r="D300" s="1" t="s">
        <v>3297</v>
      </c>
      <c r="E300" s="1" t="s">
        <v>3298</v>
      </c>
      <c r="F300" s="1" t="s">
        <v>3049</v>
      </c>
      <c r="G300" s="1" t="s">
        <v>1941</v>
      </c>
      <c r="H300" s="1">
        <v>30358.0</v>
      </c>
      <c r="I300" s="3" t="s">
        <v>1942</v>
      </c>
    </row>
    <row r="301" ht="15.75" customHeight="1">
      <c r="A301" s="1" t="s">
        <v>626</v>
      </c>
      <c r="B301" s="1" t="s">
        <v>3299</v>
      </c>
      <c r="C301" s="1" t="s">
        <v>3300</v>
      </c>
      <c r="D301" s="1" t="s">
        <v>3301</v>
      </c>
      <c r="E301" s="1" t="s">
        <v>3302</v>
      </c>
      <c r="F301" s="1" t="s">
        <v>3303</v>
      </c>
      <c r="G301" s="1" t="s">
        <v>1941</v>
      </c>
      <c r="H301" s="1">
        <v>78405.0</v>
      </c>
      <c r="I301" s="3" t="s">
        <v>1942</v>
      </c>
    </row>
    <row r="302" ht="15.75" customHeight="1">
      <c r="A302" s="1" t="s">
        <v>628</v>
      </c>
      <c r="B302" s="1" t="s">
        <v>3304</v>
      </c>
      <c r="C302" s="1" t="s">
        <v>3305</v>
      </c>
      <c r="D302" s="1" t="s">
        <v>3306</v>
      </c>
      <c r="E302" s="1" t="s">
        <v>3307</v>
      </c>
      <c r="F302" s="1" t="s">
        <v>2592</v>
      </c>
      <c r="G302" s="1" t="s">
        <v>1941</v>
      </c>
      <c r="H302" s="1">
        <v>96835.0</v>
      </c>
      <c r="I302" s="3" t="s">
        <v>1942</v>
      </c>
    </row>
    <row r="303" ht="15.75" customHeight="1">
      <c r="A303" s="1" t="s">
        <v>630</v>
      </c>
      <c r="B303" s="1" t="s">
        <v>3308</v>
      </c>
      <c r="C303" s="1" t="s">
        <v>3309</v>
      </c>
      <c r="D303" s="1" t="s">
        <v>3310</v>
      </c>
      <c r="E303" s="1" t="s">
        <v>3311</v>
      </c>
      <c r="F303" s="1" t="s">
        <v>2387</v>
      </c>
      <c r="G303" s="1" t="s">
        <v>1941</v>
      </c>
      <c r="H303" s="1">
        <v>78737.0</v>
      </c>
      <c r="I303" s="3" t="s">
        <v>1942</v>
      </c>
    </row>
    <row r="304" ht="15.75" customHeight="1">
      <c r="A304" s="1" t="s">
        <v>632</v>
      </c>
      <c r="B304" s="1" t="s">
        <v>3312</v>
      </c>
      <c r="C304" s="1" t="s">
        <v>3313</v>
      </c>
      <c r="D304" s="1" t="s">
        <v>3314</v>
      </c>
      <c r="E304" s="1" t="s">
        <v>3315</v>
      </c>
      <c r="F304" s="1" t="s">
        <v>3316</v>
      </c>
      <c r="G304" s="1" t="s">
        <v>1941</v>
      </c>
      <c r="H304" s="1">
        <v>21290.0</v>
      </c>
      <c r="I304" s="3" t="s">
        <v>1951</v>
      </c>
    </row>
    <row r="305" ht="15.75" customHeight="1">
      <c r="A305" s="1" t="s">
        <v>634</v>
      </c>
      <c r="B305" s="1" t="s">
        <v>3317</v>
      </c>
      <c r="C305" s="1" t="s">
        <v>3318</v>
      </c>
      <c r="D305" s="1"/>
      <c r="E305" s="1" t="s">
        <v>3319</v>
      </c>
      <c r="F305" s="1" t="s">
        <v>3320</v>
      </c>
      <c r="G305" s="1" t="s">
        <v>1941</v>
      </c>
      <c r="H305" s="1">
        <v>40596.0</v>
      </c>
      <c r="I305" s="3" t="s">
        <v>1942</v>
      </c>
    </row>
    <row r="306" ht="15.75" customHeight="1">
      <c r="A306" s="1" t="s">
        <v>3321</v>
      </c>
      <c r="B306" s="1" t="s">
        <v>3322</v>
      </c>
      <c r="C306" s="1" t="s">
        <v>3323</v>
      </c>
      <c r="D306" s="1"/>
      <c r="E306" s="1" t="s">
        <v>3324</v>
      </c>
      <c r="F306" s="1" t="s">
        <v>3325</v>
      </c>
      <c r="G306" s="1" t="s">
        <v>1941</v>
      </c>
      <c r="H306" s="1">
        <v>60435.0</v>
      </c>
      <c r="I306" s="3" t="s">
        <v>1942</v>
      </c>
    </row>
    <row r="307" ht="15.75" customHeight="1">
      <c r="A307" s="1" t="s">
        <v>638</v>
      </c>
      <c r="B307" s="1" t="s">
        <v>3326</v>
      </c>
      <c r="C307" s="1" t="s">
        <v>3327</v>
      </c>
      <c r="D307" s="1" t="s">
        <v>3328</v>
      </c>
      <c r="E307" s="1" t="s">
        <v>3329</v>
      </c>
      <c r="F307" s="1" t="s">
        <v>3330</v>
      </c>
      <c r="G307" s="1" t="s">
        <v>2116</v>
      </c>
      <c r="H307" s="1" t="s">
        <v>3331</v>
      </c>
      <c r="I307" s="3" t="s">
        <v>1951</v>
      </c>
    </row>
    <row r="308" ht="15.75" customHeight="1">
      <c r="A308" s="1" t="s">
        <v>640</v>
      </c>
      <c r="B308" s="1" t="s">
        <v>3332</v>
      </c>
      <c r="C308" s="1" t="s">
        <v>3333</v>
      </c>
      <c r="D308" s="1" t="s">
        <v>3334</v>
      </c>
      <c r="E308" s="1" t="s">
        <v>3335</v>
      </c>
      <c r="F308" s="1" t="s">
        <v>3336</v>
      </c>
      <c r="G308" s="1" t="s">
        <v>1941</v>
      </c>
      <c r="H308" s="1">
        <v>68505.0</v>
      </c>
      <c r="I308" s="3" t="s">
        <v>1951</v>
      </c>
    </row>
    <row r="309" ht="15.75" customHeight="1">
      <c r="A309" s="1" t="s">
        <v>642</v>
      </c>
      <c r="B309" s="1" t="s">
        <v>3337</v>
      </c>
      <c r="C309" s="1" t="s">
        <v>3338</v>
      </c>
      <c r="D309" s="1" t="s">
        <v>3339</v>
      </c>
      <c r="E309" s="1" t="s">
        <v>3340</v>
      </c>
      <c r="F309" s="1" t="s">
        <v>3037</v>
      </c>
      <c r="G309" s="1" t="s">
        <v>1941</v>
      </c>
      <c r="H309" s="1">
        <v>45254.0</v>
      </c>
      <c r="I309" s="3" t="s">
        <v>1942</v>
      </c>
    </row>
    <row r="310" ht="15.75" customHeight="1">
      <c r="A310" s="1" t="s">
        <v>644</v>
      </c>
      <c r="B310" s="1" t="s">
        <v>3341</v>
      </c>
      <c r="C310" s="1" t="s">
        <v>3342</v>
      </c>
      <c r="D310" s="1"/>
      <c r="E310" s="1" t="s">
        <v>3343</v>
      </c>
      <c r="F310" s="1" t="s">
        <v>3134</v>
      </c>
      <c r="G310" s="1" t="s">
        <v>2116</v>
      </c>
      <c r="H310" s="1" t="s">
        <v>3135</v>
      </c>
      <c r="I310" s="3" t="s">
        <v>1951</v>
      </c>
    </row>
    <row r="311" ht="15.75" customHeight="1">
      <c r="A311" s="1" t="s">
        <v>646</v>
      </c>
      <c r="B311" s="1" t="s">
        <v>3344</v>
      </c>
      <c r="C311" s="1" t="s">
        <v>3345</v>
      </c>
      <c r="D311" s="1" t="s">
        <v>3346</v>
      </c>
      <c r="E311" s="1" t="s">
        <v>3347</v>
      </c>
      <c r="F311" s="1" t="s">
        <v>3348</v>
      </c>
      <c r="G311" s="1" t="s">
        <v>1941</v>
      </c>
      <c r="H311" s="1">
        <v>6127.0</v>
      </c>
      <c r="I311" s="3" t="s">
        <v>1942</v>
      </c>
    </row>
    <row r="312" ht="15.75" customHeight="1">
      <c r="A312" s="1" t="s">
        <v>648</v>
      </c>
      <c r="B312" s="1" t="s">
        <v>3349</v>
      </c>
      <c r="C312" s="1" t="s">
        <v>3350</v>
      </c>
      <c r="D312" s="1" t="s">
        <v>3351</v>
      </c>
      <c r="E312" s="1" t="s">
        <v>3352</v>
      </c>
      <c r="F312" s="1" t="s">
        <v>2309</v>
      </c>
      <c r="G312" s="1" t="s">
        <v>1949</v>
      </c>
      <c r="H312" s="1" t="s">
        <v>2310</v>
      </c>
      <c r="I312" s="3" t="s">
        <v>1951</v>
      </c>
    </row>
    <row r="313" ht="15.75" customHeight="1">
      <c r="A313" s="1" t="s">
        <v>636</v>
      </c>
      <c r="B313" s="1" t="s">
        <v>3353</v>
      </c>
      <c r="C313" s="1" t="s">
        <v>3354</v>
      </c>
      <c r="D313" s="1" t="s">
        <v>3355</v>
      </c>
      <c r="E313" s="1" t="s">
        <v>3356</v>
      </c>
      <c r="F313" s="1" t="s">
        <v>2300</v>
      </c>
      <c r="G313" s="1" t="s">
        <v>1941</v>
      </c>
      <c r="H313" s="1">
        <v>28299.0</v>
      </c>
      <c r="I313" s="3" t="s">
        <v>1942</v>
      </c>
    </row>
    <row r="314" ht="15.75" customHeight="1">
      <c r="A314" s="1" t="s">
        <v>651</v>
      </c>
      <c r="B314" s="1" t="s">
        <v>3357</v>
      </c>
      <c r="C314" s="1" t="s">
        <v>3358</v>
      </c>
      <c r="D314" s="1" t="s">
        <v>3359</v>
      </c>
      <c r="E314" s="1" t="s">
        <v>3360</v>
      </c>
      <c r="F314" s="1" t="s">
        <v>2699</v>
      </c>
      <c r="G314" s="1" t="s">
        <v>1941</v>
      </c>
      <c r="H314" s="1">
        <v>71307.0</v>
      </c>
      <c r="I314" s="3" t="s">
        <v>1942</v>
      </c>
    </row>
    <row r="315" ht="15.75" customHeight="1">
      <c r="A315" s="1" t="s">
        <v>653</v>
      </c>
      <c r="B315" s="1" t="s">
        <v>3361</v>
      </c>
      <c r="C315" s="1" t="s">
        <v>3362</v>
      </c>
      <c r="D315" s="1" t="s">
        <v>3363</v>
      </c>
      <c r="E315" s="1" t="s">
        <v>3364</v>
      </c>
      <c r="F315" s="1" t="s">
        <v>3365</v>
      </c>
      <c r="G315" s="1" t="s">
        <v>2116</v>
      </c>
      <c r="H315" s="1" t="s">
        <v>3366</v>
      </c>
      <c r="I315" s="3" t="s">
        <v>1942</v>
      </c>
    </row>
    <row r="316" ht="15.75" customHeight="1">
      <c r="A316" s="1" t="s">
        <v>655</v>
      </c>
      <c r="B316" s="1" t="s">
        <v>3367</v>
      </c>
      <c r="C316" s="1"/>
      <c r="D316" s="1" t="s">
        <v>3368</v>
      </c>
      <c r="E316" s="1" t="s">
        <v>3369</v>
      </c>
      <c r="F316" s="1" t="s">
        <v>3370</v>
      </c>
      <c r="G316" s="1" t="s">
        <v>1941</v>
      </c>
      <c r="H316" s="1">
        <v>89115.0</v>
      </c>
      <c r="I316" s="3" t="s">
        <v>1951</v>
      </c>
    </row>
    <row r="317" ht="15.75" customHeight="1">
      <c r="A317" s="1" t="s">
        <v>657</v>
      </c>
      <c r="B317" s="1" t="s">
        <v>3371</v>
      </c>
      <c r="C317" s="1" t="s">
        <v>3372</v>
      </c>
      <c r="D317" s="1" t="s">
        <v>3373</v>
      </c>
      <c r="E317" s="1" t="s">
        <v>3374</v>
      </c>
      <c r="F317" s="1" t="s">
        <v>2647</v>
      </c>
      <c r="G317" s="1" t="s">
        <v>1941</v>
      </c>
      <c r="H317" s="1">
        <v>50369.0</v>
      </c>
      <c r="I317" s="3" t="s">
        <v>1942</v>
      </c>
    </row>
    <row r="318" ht="15.75" customHeight="1">
      <c r="A318" s="1" t="s">
        <v>659</v>
      </c>
      <c r="B318" s="1" t="s">
        <v>3375</v>
      </c>
      <c r="C318" s="1" t="s">
        <v>3376</v>
      </c>
      <c r="D318" s="1" t="s">
        <v>3377</v>
      </c>
      <c r="E318" s="1" t="s">
        <v>3378</v>
      </c>
      <c r="F318" s="1" t="s">
        <v>2600</v>
      </c>
      <c r="G318" s="1" t="s">
        <v>1949</v>
      </c>
      <c r="H318" s="1" t="s">
        <v>2545</v>
      </c>
      <c r="I318" s="3" t="s">
        <v>1951</v>
      </c>
    </row>
    <row r="319" ht="15.75" customHeight="1">
      <c r="A319" s="1" t="s">
        <v>661</v>
      </c>
      <c r="B319" s="1" t="s">
        <v>3379</v>
      </c>
      <c r="C319" s="1" t="s">
        <v>3380</v>
      </c>
      <c r="D319" s="1" t="s">
        <v>3381</v>
      </c>
      <c r="E319" s="1" t="s">
        <v>3382</v>
      </c>
      <c r="F319" s="1" t="s">
        <v>3383</v>
      </c>
      <c r="G319" s="1" t="s">
        <v>1941</v>
      </c>
      <c r="H319" s="1">
        <v>44315.0</v>
      </c>
      <c r="I319" s="3" t="s">
        <v>1951</v>
      </c>
    </row>
    <row r="320" ht="15.75" customHeight="1">
      <c r="A320" s="1" t="s">
        <v>663</v>
      </c>
      <c r="B320" s="1" t="s">
        <v>3384</v>
      </c>
      <c r="C320" s="1" t="s">
        <v>3385</v>
      </c>
      <c r="D320" s="1" t="s">
        <v>3386</v>
      </c>
      <c r="E320" s="1" t="s">
        <v>3387</v>
      </c>
      <c r="F320" s="1" t="s">
        <v>3388</v>
      </c>
      <c r="G320" s="1" t="s">
        <v>1941</v>
      </c>
      <c r="H320" s="1">
        <v>33405.0</v>
      </c>
      <c r="I320" s="3" t="s">
        <v>1942</v>
      </c>
    </row>
    <row r="321" ht="15.75" customHeight="1">
      <c r="A321" s="1" t="s">
        <v>665</v>
      </c>
      <c r="B321" s="1" t="s">
        <v>3389</v>
      </c>
      <c r="C321" s="1" t="s">
        <v>3390</v>
      </c>
      <c r="D321" s="1"/>
      <c r="E321" s="1" t="s">
        <v>3391</v>
      </c>
      <c r="F321" s="1" t="s">
        <v>2355</v>
      </c>
      <c r="G321" s="1" t="s">
        <v>1941</v>
      </c>
      <c r="H321" s="1">
        <v>93715.0</v>
      </c>
      <c r="I321" s="3" t="s">
        <v>1942</v>
      </c>
    </row>
    <row r="322" ht="15.75" customHeight="1">
      <c r="A322" s="1" t="s">
        <v>3392</v>
      </c>
      <c r="B322" s="1" t="s">
        <v>3393</v>
      </c>
      <c r="C322" s="1" t="s">
        <v>3394</v>
      </c>
      <c r="D322" s="1" t="s">
        <v>3395</v>
      </c>
      <c r="E322" s="1" t="s">
        <v>3396</v>
      </c>
      <c r="F322" s="1" t="s">
        <v>3397</v>
      </c>
      <c r="G322" s="1" t="s">
        <v>1941</v>
      </c>
      <c r="H322" s="1">
        <v>52245.0</v>
      </c>
      <c r="I322" s="3" t="s">
        <v>1942</v>
      </c>
    </row>
    <row r="323" ht="15.75" customHeight="1">
      <c r="A323" s="1" t="s">
        <v>667</v>
      </c>
      <c r="B323" s="1" t="s">
        <v>3398</v>
      </c>
      <c r="C323" s="1" t="s">
        <v>3399</v>
      </c>
      <c r="D323" s="1" t="s">
        <v>3400</v>
      </c>
      <c r="E323" s="1" t="s">
        <v>3401</v>
      </c>
      <c r="F323" s="1" t="s">
        <v>3402</v>
      </c>
      <c r="G323" s="1" t="s">
        <v>1949</v>
      </c>
      <c r="H323" s="1" t="s">
        <v>2083</v>
      </c>
      <c r="I323" s="3" t="s">
        <v>1942</v>
      </c>
    </row>
    <row r="324" ht="15.75" customHeight="1">
      <c r="A324" s="1" t="s">
        <v>669</v>
      </c>
      <c r="B324" s="1" t="s">
        <v>3403</v>
      </c>
      <c r="C324" s="1" t="s">
        <v>3404</v>
      </c>
      <c r="D324" s="1" t="s">
        <v>3405</v>
      </c>
      <c r="E324" s="1" t="s">
        <v>3406</v>
      </c>
      <c r="F324" s="1" t="s">
        <v>3407</v>
      </c>
      <c r="G324" s="1" t="s">
        <v>1949</v>
      </c>
      <c r="H324" s="1" t="s">
        <v>2083</v>
      </c>
      <c r="I324" s="3" t="s">
        <v>1951</v>
      </c>
    </row>
    <row r="325" ht="15.75" customHeight="1">
      <c r="A325" s="1" t="s">
        <v>671</v>
      </c>
      <c r="B325" s="1" t="s">
        <v>3408</v>
      </c>
      <c r="C325" s="1" t="s">
        <v>3409</v>
      </c>
      <c r="D325" s="1" t="s">
        <v>3410</v>
      </c>
      <c r="E325" s="1" t="s">
        <v>3411</v>
      </c>
      <c r="F325" s="1" t="s">
        <v>3412</v>
      </c>
      <c r="G325" s="1" t="s">
        <v>1941</v>
      </c>
      <c r="H325" s="1">
        <v>37924.0</v>
      </c>
      <c r="I325" s="3" t="s">
        <v>1942</v>
      </c>
    </row>
    <row r="326" ht="15.75" customHeight="1">
      <c r="A326" s="1" t="s">
        <v>673</v>
      </c>
      <c r="B326" s="1" t="s">
        <v>3413</v>
      </c>
      <c r="C326" s="1"/>
      <c r="D326" s="1" t="s">
        <v>3414</v>
      </c>
      <c r="E326" s="1" t="s">
        <v>3415</v>
      </c>
      <c r="F326" s="1" t="s">
        <v>2988</v>
      </c>
      <c r="G326" s="1" t="s">
        <v>1941</v>
      </c>
      <c r="H326" s="1">
        <v>66276.0</v>
      </c>
      <c r="I326" s="3" t="s">
        <v>1951</v>
      </c>
    </row>
    <row r="327" ht="15.75" customHeight="1">
      <c r="A327" s="1" t="s">
        <v>675</v>
      </c>
      <c r="B327" s="1" t="s">
        <v>3416</v>
      </c>
      <c r="C327" s="1" t="s">
        <v>3417</v>
      </c>
      <c r="D327" s="1" t="s">
        <v>3418</v>
      </c>
      <c r="E327" s="1" t="s">
        <v>3419</v>
      </c>
      <c r="F327" s="1" t="s">
        <v>3090</v>
      </c>
      <c r="G327" s="1" t="s">
        <v>1941</v>
      </c>
      <c r="H327" s="1">
        <v>94132.0</v>
      </c>
      <c r="I327" s="3" t="s">
        <v>1942</v>
      </c>
    </row>
    <row r="328" ht="15.75" customHeight="1">
      <c r="A328" s="1" t="s">
        <v>677</v>
      </c>
      <c r="B328" s="1" t="s">
        <v>3420</v>
      </c>
      <c r="C328" s="1"/>
      <c r="D328" s="1" t="s">
        <v>3421</v>
      </c>
      <c r="E328" s="1" t="s">
        <v>3422</v>
      </c>
      <c r="F328" s="1" t="s">
        <v>2172</v>
      </c>
      <c r="G328" s="1" t="s">
        <v>1941</v>
      </c>
      <c r="H328" s="1">
        <v>35244.0</v>
      </c>
      <c r="I328" s="3" t="s">
        <v>1951</v>
      </c>
    </row>
    <row r="329" ht="15.75" customHeight="1">
      <c r="A329" s="1" t="s">
        <v>679</v>
      </c>
      <c r="B329" s="1" t="s">
        <v>3423</v>
      </c>
      <c r="C329" s="1" t="s">
        <v>3424</v>
      </c>
      <c r="D329" s="1" t="s">
        <v>3425</v>
      </c>
      <c r="E329" s="1" t="s">
        <v>3426</v>
      </c>
      <c r="F329" s="1" t="s">
        <v>2776</v>
      </c>
      <c r="G329" s="1" t="s">
        <v>1941</v>
      </c>
      <c r="H329" s="1">
        <v>11215.0</v>
      </c>
      <c r="I329" s="3" t="s">
        <v>1942</v>
      </c>
    </row>
    <row r="330" ht="15.75" customHeight="1">
      <c r="A330" s="1" t="s">
        <v>681</v>
      </c>
      <c r="B330" s="1" t="s">
        <v>3427</v>
      </c>
      <c r="C330" s="1"/>
      <c r="D330" s="1" t="s">
        <v>3428</v>
      </c>
      <c r="E330" s="1" t="s">
        <v>3429</v>
      </c>
      <c r="F330" s="1" t="s">
        <v>2448</v>
      </c>
      <c r="G330" s="1" t="s">
        <v>1941</v>
      </c>
      <c r="H330" s="1">
        <v>79934.0</v>
      </c>
      <c r="I330" s="3" t="s">
        <v>1942</v>
      </c>
    </row>
    <row r="331" ht="15.75" customHeight="1">
      <c r="A331" s="1" t="s">
        <v>683</v>
      </c>
      <c r="B331" s="1" t="s">
        <v>3430</v>
      </c>
      <c r="C331" s="1" t="s">
        <v>3431</v>
      </c>
      <c r="D331" s="1"/>
      <c r="E331" s="1" t="s">
        <v>3432</v>
      </c>
      <c r="F331" s="1" t="s">
        <v>2999</v>
      </c>
      <c r="G331" s="1" t="s">
        <v>1941</v>
      </c>
      <c r="H331" s="1">
        <v>94250.0</v>
      </c>
      <c r="I331" s="3" t="s">
        <v>1942</v>
      </c>
    </row>
    <row r="332" ht="15.75" customHeight="1">
      <c r="A332" s="1" t="s">
        <v>3433</v>
      </c>
      <c r="B332" s="1" t="s">
        <v>3434</v>
      </c>
      <c r="C332" s="1" t="s">
        <v>3435</v>
      </c>
      <c r="D332" s="1" t="s">
        <v>3436</v>
      </c>
      <c r="E332" s="1" t="s">
        <v>3437</v>
      </c>
      <c r="F332" s="1" t="s">
        <v>2186</v>
      </c>
      <c r="G332" s="1" t="s">
        <v>1941</v>
      </c>
      <c r="H332" s="1">
        <v>20220.0</v>
      </c>
      <c r="I332" s="3" t="s">
        <v>1951</v>
      </c>
    </row>
    <row r="333" ht="15.75" customHeight="1">
      <c r="A333" s="1" t="s">
        <v>686</v>
      </c>
      <c r="B333" s="1" t="s">
        <v>3438</v>
      </c>
      <c r="C333" s="1" t="s">
        <v>3439</v>
      </c>
      <c r="D333" s="1" t="s">
        <v>3440</v>
      </c>
      <c r="E333" s="1" t="s">
        <v>3441</v>
      </c>
      <c r="F333" s="1" t="s">
        <v>3442</v>
      </c>
      <c r="G333" s="1" t="s">
        <v>1941</v>
      </c>
      <c r="H333" s="1">
        <v>33436.0</v>
      </c>
      <c r="I333" s="3" t="s">
        <v>1942</v>
      </c>
    </row>
    <row r="334" ht="15.75" customHeight="1">
      <c r="A334" s="1" t="s">
        <v>688</v>
      </c>
      <c r="B334" s="1" t="s">
        <v>3443</v>
      </c>
      <c r="C334" s="1" t="s">
        <v>3444</v>
      </c>
      <c r="D334" s="1" t="s">
        <v>3445</v>
      </c>
      <c r="E334" s="1" t="s">
        <v>3446</v>
      </c>
      <c r="F334" s="1" t="s">
        <v>1986</v>
      </c>
      <c r="G334" s="1" t="s">
        <v>1941</v>
      </c>
      <c r="H334" s="1">
        <v>90094.0</v>
      </c>
      <c r="I334" s="3" t="s">
        <v>1942</v>
      </c>
    </row>
    <row r="335" ht="15.75" customHeight="1">
      <c r="A335" s="1" t="s">
        <v>690</v>
      </c>
      <c r="B335" s="1" t="s">
        <v>3447</v>
      </c>
      <c r="C335" s="1" t="s">
        <v>3448</v>
      </c>
      <c r="D335" s="1" t="s">
        <v>3449</v>
      </c>
      <c r="E335" s="1" t="s">
        <v>3450</v>
      </c>
      <c r="F335" s="1" t="s">
        <v>3316</v>
      </c>
      <c r="G335" s="1" t="s">
        <v>1941</v>
      </c>
      <c r="H335" s="1">
        <v>21275.0</v>
      </c>
      <c r="I335" s="3" t="s">
        <v>1942</v>
      </c>
    </row>
    <row r="336" ht="15.75" customHeight="1">
      <c r="A336" s="1" t="s">
        <v>692</v>
      </c>
      <c r="B336" s="1" t="s">
        <v>3451</v>
      </c>
      <c r="C336" s="1"/>
      <c r="D336" s="1"/>
      <c r="E336" s="1" t="s">
        <v>3452</v>
      </c>
      <c r="F336" s="1" t="s">
        <v>2938</v>
      </c>
      <c r="G336" s="1" t="s">
        <v>1941</v>
      </c>
      <c r="H336" s="1">
        <v>84125.0</v>
      </c>
      <c r="I336" s="3" t="s">
        <v>1951</v>
      </c>
    </row>
    <row r="337" ht="15.75" customHeight="1">
      <c r="A337" s="1" t="s">
        <v>694</v>
      </c>
      <c r="B337" s="1" t="s">
        <v>3453</v>
      </c>
      <c r="C337" s="1" t="s">
        <v>3454</v>
      </c>
      <c r="D337" s="1" t="s">
        <v>3455</v>
      </c>
      <c r="E337" s="1" t="s">
        <v>3456</v>
      </c>
      <c r="F337" s="1" t="s">
        <v>2791</v>
      </c>
      <c r="G337" s="1" t="s">
        <v>1941</v>
      </c>
      <c r="H337" s="1">
        <v>75049.0</v>
      </c>
      <c r="I337" s="3" t="s">
        <v>1942</v>
      </c>
    </row>
    <row r="338" ht="15.75" customHeight="1">
      <c r="A338" s="1" t="s">
        <v>696</v>
      </c>
      <c r="B338" s="1" t="s">
        <v>3457</v>
      </c>
      <c r="C338" s="1" t="s">
        <v>3458</v>
      </c>
      <c r="D338" s="1" t="s">
        <v>3459</v>
      </c>
      <c r="E338" s="1" t="s">
        <v>3460</v>
      </c>
      <c r="F338" s="1" t="s">
        <v>3461</v>
      </c>
      <c r="G338" s="1" t="s">
        <v>2116</v>
      </c>
      <c r="H338" s="1" t="s">
        <v>3462</v>
      </c>
      <c r="I338" s="3" t="s">
        <v>1951</v>
      </c>
    </row>
    <row r="339" ht="15.75" customHeight="1">
      <c r="A339" s="1" t="s">
        <v>3463</v>
      </c>
      <c r="B339" s="1" t="s">
        <v>3464</v>
      </c>
      <c r="C339" s="1"/>
      <c r="D339" s="1" t="s">
        <v>3465</v>
      </c>
      <c r="E339" s="1" t="s">
        <v>3466</v>
      </c>
      <c r="F339" s="1" t="s">
        <v>2287</v>
      </c>
      <c r="G339" s="1" t="s">
        <v>1941</v>
      </c>
      <c r="H339" s="1">
        <v>43240.0</v>
      </c>
      <c r="I339" s="3" t="s">
        <v>1951</v>
      </c>
    </row>
    <row r="340" ht="15.75" customHeight="1">
      <c r="A340" s="1" t="s">
        <v>699</v>
      </c>
      <c r="B340" s="1" t="s">
        <v>3467</v>
      </c>
      <c r="C340" s="1" t="s">
        <v>3468</v>
      </c>
      <c r="D340" s="1" t="s">
        <v>3469</v>
      </c>
      <c r="E340" s="1" t="s">
        <v>3470</v>
      </c>
      <c r="F340" s="1" t="s">
        <v>2037</v>
      </c>
      <c r="G340" s="1" t="s">
        <v>1941</v>
      </c>
      <c r="H340" s="1">
        <v>10184.0</v>
      </c>
      <c r="I340" s="3" t="s">
        <v>1951</v>
      </c>
    </row>
    <row r="341" ht="15.75" customHeight="1">
      <c r="A341" s="1" t="s">
        <v>701</v>
      </c>
      <c r="B341" s="1" t="s">
        <v>3471</v>
      </c>
      <c r="C341" s="1" t="s">
        <v>3472</v>
      </c>
      <c r="D341" s="1" t="s">
        <v>3473</v>
      </c>
      <c r="E341" s="1" t="s">
        <v>3474</v>
      </c>
      <c r="F341" s="1" t="s">
        <v>2158</v>
      </c>
      <c r="G341" s="1" t="s">
        <v>1941</v>
      </c>
      <c r="H341" s="1">
        <v>2216.0</v>
      </c>
      <c r="I341" s="3" t="s">
        <v>1942</v>
      </c>
    </row>
    <row r="342" ht="15.75" customHeight="1">
      <c r="A342" s="1" t="s">
        <v>703</v>
      </c>
      <c r="B342" s="1" t="s">
        <v>3475</v>
      </c>
      <c r="C342" s="1" t="s">
        <v>3476</v>
      </c>
      <c r="D342" s="1" t="s">
        <v>3477</v>
      </c>
      <c r="E342" s="1" t="s">
        <v>3478</v>
      </c>
      <c r="F342" s="1" t="s">
        <v>3090</v>
      </c>
      <c r="G342" s="1" t="s">
        <v>1941</v>
      </c>
      <c r="H342" s="1">
        <v>94132.0</v>
      </c>
      <c r="I342" s="3" t="s">
        <v>1942</v>
      </c>
    </row>
    <row r="343" ht="15.75" customHeight="1">
      <c r="A343" s="1" t="s">
        <v>705</v>
      </c>
      <c r="B343" s="1" t="s">
        <v>3479</v>
      </c>
      <c r="C343" s="1" t="s">
        <v>3480</v>
      </c>
      <c r="D343" s="1" t="s">
        <v>3481</v>
      </c>
      <c r="E343" s="1" t="s">
        <v>3482</v>
      </c>
      <c r="F343" s="1" t="s">
        <v>3483</v>
      </c>
      <c r="G343" s="1" t="s">
        <v>1941</v>
      </c>
      <c r="H343" s="1">
        <v>46295.0</v>
      </c>
      <c r="I343" s="3" t="s">
        <v>1951</v>
      </c>
    </row>
    <row r="344" ht="15.75" customHeight="1">
      <c r="A344" s="1" t="s">
        <v>3484</v>
      </c>
      <c r="B344" s="1" t="s">
        <v>3485</v>
      </c>
      <c r="C344" s="1" t="s">
        <v>3486</v>
      </c>
      <c r="D344" s="1"/>
      <c r="E344" s="1" t="s">
        <v>3487</v>
      </c>
      <c r="F344" s="1" t="s">
        <v>3488</v>
      </c>
      <c r="G344" s="1" t="s">
        <v>1941</v>
      </c>
      <c r="H344" s="1">
        <v>32209.0</v>
      </c>
      <c r="I344" s="3" t="s">
        <v>1951</v>
      </c>
    </row>
    <row r="345" ht="15.75" customHeight="1">
      <c r="A345" s="1" t="s">
        <v>707</v>
      </c>
      <c r="B345" s="1" t="s">
        <v>3489</v>
      </c>
      <c r="C345" s="1" t="s">
        <v>3490</v>
      </c>
      <c r="D345" s="1"/>
      <c r="E345" s="1" t="s">
        <v>3491</v>
      </c>
      <c r="F345" s="1" t="s">
        <v>3492</v>
      </c>
      <c r="G345" s="1" t="s">
        <v>1941</v>
      </c>
      <c r="H345" s="1">
        <v>98148.0</v>
      </c>
      <c r="I345" s="3" t="s">
        <v>1951</v>
      </c>
    </row>
    <row r="346" ht="15.75" customHeight="1">
      <c r="A346" s="1" t="s">
        <v>709</v>
      </c>
      <c r="B346" s="1" t="s">
        <v>3493</v>
      </c>
      <c r="C346" s="1"/>
      <c r="D346" s="1" t="s">
        <v>3494</v>
      </c>
      <c r="E346" s="1" t="s">
        <v>3495</v>
      </c>
      <c r="F346" s="1" t="s">
        <v>3496</v>
      </c>
      <c r="G346" s="1" t="s">
        <v>1949</v>
      </c>
      <c r="H346" s="1" t="s">
        <v>3497</v>
      </c>
      <c r="I346" s="3" t="s">
        <v>1942</v>
      </c>
    </row>
    <row r="347" ht="15.75" customHeight="1">
      <c r="A347" s="1" t="s">
        <v>711</v>
      </c>
      <c r="B347" s="1" t="s">
        <v>3498</v>
      </c>
      <c r="C347" s="1" t="s">
        <v>3499</v>
      </c>
      <c r="D347" s="1" t="s">
        <v>3500</v>
      </c>
      <c r="E347" s="1" t="s">
        <v>3501</v>
      </c>
      <c r="F347" s="1" t="s">
        <v>2744</v>
      </c>
      <c r="G347" s="1" t="s">
        <v>1941</v>
      </c>
      <c r="H347" s="1">
        <v>36109.0</v>
      </c>
      <c r="I347" s="3" t="s">
        <v>1951</v>
      </c>
    </row>
    <row r="348" ht="15.75" customHeight="1">
      <c r="A348" s="1" t="s">
        <v>713</v>
      </c>
      <c r="B348" s="1" t="s">
        <v>3502</v>
      </c>
      <c r="C348" s="1" t="s">
        <v>3503</v>
      </c>
      <c r="D348" s="1" t="s">
        <v>3504</v>
      </c>
      <c r="E348" s="1" t="s">
        <v>3505</v>
      </c>
      <c r="F348" s="1" t="s">
        <v>2325</v>
      </c>
      <c r="G348" s="1" t="s">
        <v>1941</v>
      </c>
      <c r="H348" s="1">
        <v>75372.0</v>
      </c>
      <c r="I348" s="3" t="s">
        <v>1942</v>
      </c>
    </row>
    <row r="349" ht="15.75" customHeight="1">
      <c r="A349" s="1" t="s">
        <v>715</v>
      </c>
      <c r="B349" s="1" t="s">
        <v>3506</v>
      </c>
      <c r="C349" s="1" t="s">
        <v>3507</v>
      </c>
      <c r="D349" s="1" t="s">
        <v>3508</v>
      </c>
      <c r="E349" s="1" t="s">
        <v>3509</v>
      </c>
      <c r="F349" s="1" t="s">
        <v>3510</v>
      </c>
      <c r="G349" s="1" t="s">
        <v>1941</v>
      </c>
      <c r="H349" s="1">
        <v>66622.0</v>
      </c>
      <c r="I349" s="3" t="s">
        <v>1951</v>
      </c>
    </row>
    <row r="350" ht="15.75" customHeight="1">
      <c r="A350" s="1" t="s">
        <v>717</v>
      </c>
      <c r="B350" s="1" t="s">
        <v>3511</v>
      </c>
      <c r="C350" s="1" t="s">
        <v>3512</v>
      </c>
      <c r="D350" s="1" t="s">
        <v>3513</v>
      </c>
      <c r="E350" s="1" t="s">
        <v>3514</v>
      </c>
      <c r="F350" s="1" t="s">
        <v>3515</v>
      </c>
      <c r="G350" s="1" t="s">
        <v>1941</v>
      </c>
      <c r="H350" s="1">
        <v>75799.0</v>
      </c>
      <c r="I350" s="3" t="s">
        <v>1951</v>
      </c>
    </row>
    <row r="351" ht="15.75" customHeight="1">
      <c r="A351" s="1" t="s">
        <v>719</v>
      </c>
      <c r="B351" s="1" t="s">
        <v>3516</v>
      </c>
      <c r="C351" s="1" t="s">
        <v>3517</v>
      </c>
      <c r="D351" s="1" t="s">
        <v>3518</v>
      </c>
      <c r="E351" s="1" t="s">
        <v>3519</v>
      </c>
      <c r="F351" s="1" t="s">
        <v>1986</v>
      </c>
      <c r="G351" s="1" t="s">
        <v>1941</v>
      </c>
      <c r="H351" s="1">
        <v>90065.0</v>
      </c>
      <c r="I351" s="3" t="s">
        <v>1951</v>
      </c>
    </row>
    <row r="352" ht="15.75" customHeight="1">
      <c r="A352" s="1" t="s">
        <v>721</v>
      </c>
      <c r="B352" s="1" t="s">
        <v>3520</v>
      </c>
      <c r="C352" s="1" t="s">
        <v>3521</v>
      </c>
      <c r="D352" s="1" t="s">
        <v>3522</v>
      </c>
      <c r="E352" s="1" t="s">
        <v>3523</v>
      </c>
      <c r="F352" s="1" t="s">
        <v>3524</v>
      </c>
      <c r="G352" s="1" t="s">
        <v>1941</v>
      </c>
      <c r="H352" s="1">
        <v>71137.0</v>
      </c>
      <c r="I352" s="3" t="s">
        <v>1951</v>
      </c>
    </row>
    <row r="353" ht="15.75" customHeight="1">
      <c r="A353" s="1" t="s">
        <v>723</v>
      </c>
      <c r="B353" s="1" t="s">
        <v>3525</v>
      </c>
      <c r="C353" s="1" t="s">
        <v>3526</v>
      </c>
      <c r="D353" s="1" t="s">
        <v>3527</v>
      </c>
      <c r="E353" s="1" t="s">
        <v>3528</v>
      </c>
      <c r="F353" s="1" t="s">
        <v>3529</v>
      </c>
      <c r="G353" s="1" t="s">
        <v>1941</v>
      </c>
      <c r="H353" s="1">
        <v>83722.0</v>
      </c>
      <c r="I353" s="3" t="s">
        <v>1951</v>
      </c>
    </row>
    <row r="354" ht="15.75" customHeight="1">
      <c r="A354" s="1" t="s">
        <v>3530</v>
      </c>
      <c r="B354" s="1" t="s">
        <v>3531</v>
      </c>
      <c r="C354" s="1" t="s">
        <v>3532</v>
      </c>
      <c r="D354" s="1" t="s">
        <v>3533</v>
      </c>
      <c r="E354" s="1" t="s">
        <v>3534</v>
      </c>
      <c r="F354" s="1" t="s">
        <v>2177</v>
      </c>
      <c r="G354" s="1" t="s">
        <v>1941</v>
      </c>
      <c r="H354" s="1">
        <v>92415.0</v>
      </c>
      <c r="I354" s="3" t="s">
        <v>1951</v>
      </c>
    </row>
    <row r="355" ht="15.75" customHeight="1">
      <c r="A355" s="1" t="s">
        <v>726</v>
      </c>
      <c r="B355" s="1" t="s">
        <v>3535</v>
      </c>
      <c r="C355" s="1"/>
      <c r="D355" s="1" t="s">
        <v>3536</v>
      </c>
      <c r="E355" s="1" t="s">
        <v>3537</v>
      </c>
      <c r="F355" s="1" t="s">
        <v>2744</v>
      </c>
      <c r="G355" s="1" t="s">
        <v>1941</v>
      </c>
      <c r="H355" s="1">
        <v>36177.0</v>
      </c>
      <c r="I355" s="3" t="s">
        <v>1942</v>
      </c>
    </row>
    <row r="356" ht="15.75" customHeight="1">
      <c r="A356" s="1" t="s">
        <v>728</v>
      </c>
      <c r="B356" s="1" t="s">
        <v>3538</v>
      </c>
      <c r="C356" s="1" t="s">
        <v>3539</v>
      </c>
      <c r="D356" s="1"/>
      <c r="E356" s="1" t="s">
        <v>3540</v>
      </c>
      <c r="F356" s="1" t="s">
        <v>3541</v>
      </c>
      <c r="G356" s="1" t="s">
        <v>1941</v>
      </c>
      <c r="H356" s="1">
        <v>34981.0</v>
      </c>
      <c r="I356" s="3" t="s">
        <v>1951</v>
      </c>
    </row>
    <row r="357" ht="15.75" customHeight="1">
      <c r="A357" s="1" t="s">
        <v>730</v>
      </c>
      <c r="B357" s="1" t="s">
        <v>3542</v>
      </c>
      <c r="C357" s="1" t="s">
        <v>3543</v>
      </c>
      <c r="D357" s="1" t="s">
        <v>3544</v>
      </c>
      <c r="E357" s="1" t="s">
        <v>3545</v>
      </c>
      <c r="F357" s="1" t="s">
        <v>2694</v>
      </c>
      <c r="G357" s="1" t="s">
        <v>1941</v>
      </c>
      <c r="H357" s="1">
        <v>27415.0</v>
      </c>
      <c r="I357" s="3" t="s">
        <v>1942</v>
      </c>
    </row>
    <row r="358" ht="15.75" customHeight="1">
      <c r="A358" s="1" t="s">
        <v>732</v>
      </c>
      <c r="B358" s="1" t="s">
        <v>3546</v>
      </c>
      <c r="C358" s="1" t="s">
        <v>3547</v>
      </c>
      <c r="D358" s="1" t="s">
        <v>3548</v>
      </c>
      <c r="E358" s="1" t="s">
        <v>3549</v>
      </c>
      <c r="F358" s="1" t="s">
        <v>2999</v>
      </c>
      <c r="G358" s="1" t="s">
        <v>1941</v>
      </c>
      <c r="H358" s="1">
        <v>94237.0</v>
      </c>
      <c r="I358" s="3" t="s">
        <v>1942</v>
      </c>
    </row>
    <row r="359" ht="15.75" customHeight="1">
      <c r="A359" s="1" t="s">
        <v>734</v>
      </c>
      <c r="B359" s="1" t="s">
        <v>3550</v>
      </c>
      <c r="C359" s="1"/>
      <c r="D359" s="1" t="s">
        <v>3551</v>
      </c>
      <c r="E359" s="1" t="s">
        <v>3552</v>
      </c>
      <c r="F359" s="1" t="s">
        <v>3553</v>
      </c>
      <c r="G359" s="1" t="s">
        <v>1941</v>
      </c>
      <c r="H359" s="1">
        <v>78682.0</v>
      </c>
      <c r="I359" s="3" t="s">
        <v>1951</v>
      </c>
    </row>
    <row r="360" ht="15.75" customHeight="1">
      <c r="A360" s="1" t="s">
        <v>736</v>
      </c>
      <c r="B360" s="1" t="s">
        <v>3554</v>
      </c>
      <c r="C360" s="1" t="s">
        <v>3555</v>
      </c>
      <c r="D360" s="1" t="s">
        <v>3556</v>
      </c>
      <c r="E360" s="1" t="s">
        <v>3557</v>
      </c>
      <c r="F360" s="1" t="s">
        <v>3558</v>
      </c>
      <c r="G360" s="1" t="s">
        <v>1941</v>
      </c>
      <c r="H360" s="1">
        <v>22096.0</v>
      </c>
      <c r="I360" s="3" t="s">
        <v>1951</v>
      </c>
    </row>
    <row r="361" ht="15.75" customHeight="1">
      <c r="A361" s="1" t="s">
        <v>738</v>
      </c>
      <c r="B361" s="1" t="s">
        <v>3559</v>
      </c>
      <c r="C361" s="1" t="s">
        <v>3560</v>
      </c>
      <c r="D361" s="1" t="s">
        <v>3561</v>
      </c>
      <c r="E361" s="1" t="s">
        <v>3562</v>
      </c>
      <c r="F361" s="1" t="s">
        <v>3563</v>
      </c>
      <c r="G361" s="1" t="s">
        <v>2116</v>
      </c>
      <c r="H361" s="1" t="s">
        <v>3564</v>
      </c>
      <c r="I361" s="3" t="s">
        <v>1951</v>
      </c>
    </row>
    <row r="362" ht="15.75" customHeight="1">
      <c r="A362" s="1" t="s">
        <v>740</v>
      </c>
      <c r="B362" s="1" t="s">
        <v>3565</v>
      </c>
      <c r="C362" s="1" t="s">
        <v>3566</v>
      </c>
      <c r="D362" s="1" t="s">
        <v>3567</v>
      </c>
      <c r="E362" s="1" t="s">
        <v>3568</v>
      </c>
      <c r="F362" s="1" t="s">
        <v>3217</v>
      </c>
      <c r="G362" s="1" t="s">
        <v>1941</v>
      </c>
      <c r="H362" s="1">
        <v>29220.0</v>
      </c>
      <c r="I362" s="3" t="s">
        <v>1951</v>
      </c>
    </row>
    <row r="363" ht="15.75" customHeight="1">
      <c r="A363" s="1" t="s">
        <v>3569</v>
      </c>
      <c r="B363" s="1" t="s">
        <v>3570</v>
      </c>
      <c r="C363" s="1" t="s">
        <v>3571</v>
      </c>
      <c r="D363" s="1" t="s">
        <v>3572</v>
      </c>
      <c r="E363" s="1" t="s">
        <v>3573</v>
      </c>
      <c r="F363" s="1" t="s">
        <v>2506</v>
      </c>
      <c r="G363" s="1" t="s">
        <v>1941</v>
      </c>
      <c r="H363" s="1">
        <v>37215.0</v>
      </c>
      <c r="I363" s="3" t="s">
        <v>1942</v>
      </c>
    </row>
    <row r="364" ht="15.75" customHeight="1">
      <c r="A364" s="1" t="s">
        <v>742</v>
      </c>
      <c r="B364" s="1" t="s">
        <v>3574</v>
      </c>
      <c r="C364" s="1" t="s">
        <v>3575</v>
      </c>
      <c r="D364" s="1" t="s">
        <v>3576</v>
      </c>
      <c r="E364" s="1" t="s">
        <v>3577</v>
      </c>
      <c r="F364" s="1" t="s">
        <v>3099</v>
      </c>
      <c r="G364" s="1" t="s">
        <v>1941</v>
      </c>
      <c r="H364" s="1">
        <v>85025.0</v>
      </c>
      <c r="I364" s="3" t="s">
        <v>1942</v>
      </c>
    </row>
    <row r="365" ht="15.75" customHeight="1">
      <c r="A365" s="1" t="s">
        <v>744</v>
      </c>
      <c r="B365" s="1" t="s">
        <v>3578</v>
      </c>
      <c r="C365" s="1" t="s">
        <v>3579</v>
      </c>
      <c r="D365" s="1"/>
      <c r="E365" s="1" t="s">
        <v>3580</v>
      </c>
      <c r="F365" s="1" t="s">
        <v>3581</v>
      </c>
      <c r="G365" s="1" t="s">
        <v>1941</v>
      </c>
      <c r="H365" s="1">
        <v>33233.0</v>
      </c>
      <c r="I365" s="3" t="s">
        <v>1951</v>
      </c>
    </row>
    <row r="366" ht="15.75" customHeight="1">
      <c r="A366" s="1" t="s">
        <v>746</v>
      </c>
      <c r="B366" s="1" t="s">
        <v>3582</v>
      </c>
      <c r="C366" s="1" t="s">
        <v>3583</v>
      </c>
      <c r="D366" s="1" t="s">
        <v>3584</v>
      </c>
      <c r="E366" s="1" t="s">
        <v>3585</v>
      </c>
      <c r="F366" s="1" t="s">
        <v>2355</v>
      </c>
      <c r="G366" s="1" t="s">
        <v>1941</v>
      </c>
      <c r="H366" s="1">
        <v>93762.0</v>
      </c>
      <c r="I366" s="3" t="s">
        <v>1942</v>
      </c>
    </row>
    <row r="367" ht="15.75" customHeight="1">
      <c r="A367" s="1" t="s">
        <v>748</v>
      </c>
      <c r="B367" s="1" t="s">
        <v>3586</v>
      </c>
      <c r="C367" s="1" t="s">
        <v>3587</v>
      </c>
      <c r="D367" s="1"/>
      <c r="E367" s="1" t="s">
        <v>3588</v>
      </c>
      <c r="F367" s="1" t="s">
        <v>3589</v>
      </c>
      <c r="G367" s="1" t="s">
        <v>1941</v>
      </c>
      <c r="H367" s="1">
        <v>92825.0</v>
      </c>
      <c r="I367" s="3" t="s">
        <v>1951</v>
      </c>
    </row>
    <row r="368" ht="15.75" customHeight="1">
      <c r="A368" s="1" t="s">
        <v>750</v>
      </c>
      <c r="B368" s="1" t="s">
        <v>3590</v>
      </c>
      <c r="C368" s="1"/>
      <c r="D368" s="1" t="s">
        <v>3591</v>
      </c>
      <c r="E368" s="1" t="s">
        <v>3592</v>
      </c>
      <c r="F368" s="1" t="s">
        <v>2530</v>
      </c>
      <c r="G368" s="1" t="s">
        <v>1941</v>
      </c>
      <c r="H368" s="1">
        <v>23605.0</v>
      </c>
      <c r="I368" s="3" t="s">
        <v>1951</v>
      </c>
    </row>
    <row r="369" ht="15.75" customHeight="1">
      <c r="A369" s="1" t="s">
        <v>752</v>
      </c>
      <c r="B369" s="1" t="s">
        <v>3593</v>
      </c>
      <c r="C369" s="1"/>
      <c r="D369" s="1"/>
      <c r="E369" s="1" t="s">
        <v>3594</v>
      </c>
      <c r="F369" s="1" t="s">
        <v>2886</v>
      </c>
      <c r="G369" s="1" t="s">
        <v>1941</v>
      </c>
      <c r="H369" s="1">
        <v>29305.0</v>
      </c>
      <c r="I369" s="3" t="s">
        <v>1942</v>
      </c>
    </row>
    <row r="370" ht="15.75" customHeight="1">
      <c r="A370" s="1" t="s">
        <v>754</v>
      </c>
      <c r="B370" s="1" t="s">
        <v>3595</v>
      </c>
      <c r="C370" s="1" t="s">
        <v>3596</v>
      </c>
      <c r="D370" s="1" t="s">
        <v>3597</v>
      </c>
      <c r="E370" s="1" t="s">
        <v>3598</v>
      </c>
      <c r="F370" s="1" t="s">
        <v>2890</v>
      </c>
      <c r="G370" s="1" t="s">
        <v>1941</v>
      </c>
      <c r="H370" s="1">
        <v>10305.0</v>
      </c>
      <c r="I370" s="3" t="s">
        <v>1951</v>
      </c>
    </row>
    <row r="371" ht="15.75" customHeight="1">
      <c r="A371" s="1" t="s">
        <v>756</v>
      </c>
      <c r="B371" s="1" t="s">
        <v>3599</v>
      </c>
      <c r="C371" s="1"/>
      <c r="D371" s="1"/>
      <c r="E371" s="1" t="s">
        <v>3600</v>
      </c>
      <c r="F371" s="1" t="s">
        <v>3370</v>
      </c>
      <c r="G371" s="1" t="s">
        <v>1941</v>
      </c>
      <c r="H371" s="1">
        <v>89115.0</v>
      </c>
      <c r="I371" s="3" t="s">
        <v>1942</v>
      </c>
    </row>
    <row r="372" ht="15.75" customHeight="1">
      <c r="A372" s="1" t="s">
        <v>758</v>
      </c>
      <c r="B372" s="1" t="s">
        <v>3601</v>
      </c>
      <c r="C372" s="1" t="s">
        <v>3602</v>
      </c>
      <c r="D372" s="1" t="s">
        <v>3603</v>
      </c>
      <c r="E372" s="1" t="s">
        <v>3604</v>
      </c>
      <c r="F372" s="1" t="s">
        <v>2938</v>
      </c>
      <c r="G372" s="1" t="s">
        <v>1941</v>
      </c>
      <c r="H372" s="1">
        <v>84105.0</v>
      </c>
      <c r="I372" s="3" t="s">
        <v>1942</v>
      </c>
    </row>
    <row r="373" ht="15.75" customHeight="1">
      <c r="A373" s="1" t="s">
        <v>760</v>
      </c>
      <c r="B373" s="1" t="s">
        <v>3605</v>
      </c>
      <c r="C373" s="1" t="s">
        <v>3606</v>
      </c>
      <c r="D373" s="1" t="s">
        <v>3607</v>
      </c>
      <c r="E373" s="1" t="s">
        <v>3608</v>
      </c>
      <c r="F373" s="1" t="s">
        <v>3492</v>
      </c>
      <c r="G373" s="1" t="s">
        <v>1941</v>
      </c>
      <c r="H373" s="1">
        <v>98109.0</v>
      </c>
      <c r="I373" s="3" t="s">
        <v>1942</v>
      </c>
    </row>
    <row r="374" ht="15.75" customHeight="1">
      <c r="A374" s="1" t="s">
        <v>762</v>
      </c>
      <c r="B374" s="1" t="s">
        <v>3609</v>
      </c>
      <c r="C374" s="1" t="s">
        <v>3610</v>
      </c>
      <c r="D374" s="1" t="s">
        <v>3611</v>
      </c>
      <c r="E374" s="1" t="s">
        <v>3612</v>
      </c>
      <c r="F374" s="1" t="s">
        <v>3613</v>
      </c>
      <c r="G374" s="1" t="s">
        <v>1941</v>
      </c>
      <c r="H374" s="1">
        <v>79764.0</v>
      </c>
      <c r="I374" s="3" t="s">
        <v>1951</v>
      </c>
    </row>
    <row r="375" ht="15.75" customHeight="1">
      <c r="A375" s="1" t="s">
        <v>764</v>
      </c>
      <c r="B375" s="1" t="s">
        <v>3614</v>
      </c>
      <c r="C375" s="1"/>
      <c r="D375" s="1" t="s">
        <v>3615</v>
      </c>
      <c r="E375" s="1" t="s">
        <v>3616</v>
      </c>
      <c r="F375" s="1" t="s">
        <v>3617</v>
      </c>
      <c r="G375" s="1" t="s">
        <v>1949</v>
      </c>
      <c r="H375" s="1" t="s">
        <v>3618</v>
      </c>
      <c r="I375" s="3" t="s">
        <v>1942</v>
      </c>
    </row>
    <row r="376" ht="15.75" customHeight="1">
      <c r="A376" s="1" t="s">
        <v>766</v>
      </c>
      <c r="B376" s="1" t="s">
        <v>3619</v>
      </c>
      <c r="C376" s="1" t="s">
        <v>3620</v>
      </c>
      <c r="D376" s="1" t="s">
        <v>3621</v>
      </c>
      <c r="E376" s="1" t="s">
        <v>3622</v>
      </c>
      <c r="F376" s="1" t="s">
        <v>3623</v>
      </c>
      <c r="G376" s="1" t="s">
        <v>1941</v>
      </c>
      <c r="H376" s="1">
        <v>75037.0</v>
      </c>
      <c r="I376" s="3" t="s">
        <v>1942</v>
      </c>
    </row>
    <row r="377" ht="15.75" customHeight="1">
      <c r="A377" s="1" t="s">
        <v>768</v>
      </c>
      <c r="B377" s="1" t="s">
        <v>3624</v>
      </c>
      <c r="C377" s="1" t="s">
        <v>3625</v>
      </c>
      <c r="D377" s="1" t="s">
        <v>3626</v>
      </c>
      <c r="E377" s="1" t="s">
        <v>3627</v>
      </c>
      <c r="F377" s="1" t="s">
        <v>1976</v>
      </c>
      <c r="G377" s="1" t="s">
        <v>1941</v>
      </c>
      <c r="H377" s="1">
        <v>45426.0</v>
      </c>
      <c r="I377" s="3" t="s">
        <v>1942</v>
      </c>
    </row>
    <row r="378" ht="15.75" customHeight="1">
      <c r="A378" s="1" t="s">
        <v>770</v>
      </c>
      <c r="B378" s="1" t="s">
        <v>3628</v>
      </c>
      <c r="C378" s="1" t="s">
        <v>3629</v>
      </c>
      <c r="D378" s="1" t="s">
        <v>3630</v>
      </c>
      <c r="E378" s="1" t="s">
        <v>3631</v>
      </c>
      <c r="F378" s="1" t="s">
        <v>2048</v>
      </c>
      <c r="G378" s="1" t="s">
        <v>1941</v>
      </c>
      <c r="H378" s="1">
        <v>49560.0</v>
      </c>
      <c r="I378" s="3" t="s">
        <v>1942</v>
      </c>
    </row>
    <row r="379" ht="15.75" customHeight="1">
      <c r="A379" s="1" t="s">
        <v>772</v>
      </c>
      <c r="B379" s="1" t="s">
        <v>3632</v>
      </c>
      <c r="C379" s="1" t="s">
        <v>3633</v>
      </c>
      <c r="D379" s="1" t="s">
        <v>3634</v>
      </c>
      <c r="E379" s="1" t="s">
        <v>3635</v>
      </c>
      <c r="F379" s="1" t="s">
        <v>2933</v>
      </c>
      <c r="G379" s="1" t="s">
        <v>1949</v>
      </c>
      <c r="H379" s="1" t="s">
        <v>2083</v>
      </c>
      <c r="I379" s="3" t="s">
        <v>1951</v>
      </c>
    </row>
    <row r="380" ht="15.75" customHeight="1">
      <c r="A380" s="1" t="s">
        <v>774</v>
      </c>
      <c r="B380" s="1" t="s">
        <v>3636</v>
      </c>
      <c r="C380" s="1" t="s">
        <v>3637</v>
      </c>
      <c r="D380" s="1" t="s">
        <v>3638</v>
      </c>
      <c r="E380" s="1" t="s">
        <v>3639</v>
      </c>
      <c r="F380" s="1" t="s">
        <v>3640</v>
      </c>
      <c r="G380" s="1" t="s">
        <v>1949</v>
      </c>
      <c r="H380" s="1" t="s">
        <v>2425</v>
      </c>
      <c r="I380" s="3" t="s">
        <v>1942</v>
      </c>
    </row>
    <row r="381" ht="15.75" customHeight="1">
      <c r="A381" s="1" t="s">
        <v>776</v>
      </c>
      <c r="B381" s="1" t="s">
        <v>3641</v>
      </c>
      <c r="C381" s="1" t="s">
        <v>3642</v>
      </c>
      <c r="D381" s="1"/>
      <c r="E381" s="1" t="s">
        <v>3643</v>
      </c>
      <c r="F381" s="1" t="s">
        <v>3644</v>
      </c>
      <c r="G381" s="1" t="s">
        <v>2116</v>
      </c>
      <c r="H381" s="1" t="s">
        <v>3645</v>
      </c>
      <c r="I381" s="3" t="s">
        <v>1942</v>
      </c>
    </row>
    <row r="382" ht="15.75" customHeight="1">
      <c r="A382" s="1" t="s">
        <v>3646</v>
      </c>
      <c r="B382" s="1" t="s">
        <v>3647</v>
      </c>
      <c r="C382" s="1" t="s">
        <v>3648</v>
      </c>
      <c r="D382" s="1" t="s">
        <v>3649</v>
      </c>
      <c r="E382" s="1" t="s">
        <v>3650</v>
      </c>
      <c r="F382" s="1" t="s">
        <v>1962</v>
      </c>
      <c r="G382" s="1" t="s">
        <v>1941</v>
      </c>
      <c r="H382" s="1">
        <v>62756.0</v>
      </c>
      <c r="I382" s="3" t="s">
        <v>1951</v>
      </c>
    </row>
    <row r="383" ht="15.75" customHeight="1">
      <c r="A383" s="1" t="s">
        <v>779</v>
      </c>
      <c r="B383" s="1" t="s">
        <v>3651</v>
      </c>
      <c r="C383" s="1" t="s">
        <v>3652</v>
      </c>
      <c r="D383" s="1" t="s">
        <v>3653</v>
      </c>
      <c r="E383" s="1" t="s">
        <v>3654</v>
      </c>
      <c r="F383" s="1" t="s">
        <v>1986</v>
      </c>
      <c r="G383" s="1" t="s">
        <v>1941</v>
      </c>
      <c r="H383" s="1">
        <v>90010.0</v>
      </c>
      <c r="I383" s="3" t="s">
        <v>1942</v>
      </c>
    </row>
    <row r="384" ht="15.75" customHeight="1">
      <c r="A384" s="1" t="s">
        <v>781</v>
      </c>
      <c r="B384" s="1" t="s">
        <v>3655</v>
      </c>
      <c r="C384" s="1" t="s">
        <v>3656</v>
      </c>
      <c r="D384" s="1" t="s">
        <v>3657</v>
      </c>
      <c r="E384" s="1" t="s">
        <v>3658</v>
      </c>
      <c r="F384" s="1" t="s">
        <v>3316</v>
      </c>
      <c r="G384" s="1" t="s">
        <v>1941</v>
      </c>
      <c r="H384" s="1">
        <v>21239.0</v>
      </c>
      <c r="I384" s="3" t="s">
        <v>1951</v>
      </c>
    </row>
    <row r="385" ht="15.75" customHeight="1">
      <c r="A385" s="1" t="s">
        <v>783</v>
      </c>
      <c r="B385" s="1" t="s">
        <v>3659</v>
      </c>
      <c r="C385" s="1"/>
      <c r="D385" s="1" t="s">
        <v>3660</v>
      </c>
      <c r="E385" s="1" t="s">
        <v>3661</v>
      </c>
      <c r="F385" s="1" t="s">
        <v>3662</v>
      </c>
      <c r="G385" s="1" t="s">
        <v>1941</v>
      </c>
      <c r="H385" s="1">
        <v>17126.0</v>
      </c>
      <c r="I385" s="3" t="s">
        <v>1942</v>
      </c>
    </row>
    <row r="386" ht="15.75" customHeight="1">
      <c r="A386" s="1" t="s">
        <v>785</v>
      </c>
      <c r="B386" s="1" t="s">
        <v>3663</v>
      </c>
      <c r="C386" s="1"/>
      <c r="D386" s="1" t="s">
        <v>3664</v>
      </c>
      <c r="E386" s="1" t="s">
        <v>3665</v>
      </c>
      <c r="F386" s="1" t="s">
        <v>2325</v>
      </c>
      <c r="G386" s="1" t="s">
        <v>1941</v>
      </c>
      <c r="H386" s="1">
        <v>75216.0</v>
      </c>
      <c r="I386" s="3" t="s">
        <v>1951</v>
      </c>
    </row>
    <row r="387" ht="15.75" customHeight="1">
      <c r="A387" s="1" t="s">
        <v>787</v>
      </c>
      <c r="B387" s="1" t="s">
        <v>3666</v>
      </c>
      <c r="C387" s="1" t="s">
        <v>3667</v>
      </c>
      <c r="D387" s="1" t="s">
        <v>3668</v>
      </c>
      <c r="E387" s="1" t="s">
        <v>3669</v>
      </c>
      <c r="F387" s="1" t="s">
        <v>2375</v>
      </c>
      <c r="G387" s="1" t="s">
        <v>1941</v>
      </c>
      <c r="H387" s="1">
        <v>64125.0</v>
      </c>
      <c r="I387" s="3" t="s">
        <v>1942</v>
      </c>
    </row>
    <row r="388" ht="15.75" customHeight="1">
      <c r="A388" s="1" t="s">
        <v>789</v>
      </c>
      <c r="B388" s="1" t="s">
        <v>3670</v>
      </c>
      <c r="C388" s="1"/>
      <c r="D388" s="1" t="s">
        <v>3671</v>
      </c>
      <c r="E388" s="1" t="s">
        <v>3672</v>
      </c>
      <c r="F388" s="1" t="s">
        <v>1962</v>
      </c>
      <c r="G388" s="1" t="s">
        <v>1941</v>
      </c>
      <c r="H388" s="1">
        <v>62723.0</v>
      </c>
      <c r="I388" s="3" t="s">
        <v>1942</v>
      </c>
    </row>
    <row r="389" ht="15.75" customHeight="1">
      <c r="A389" s="1" t="s">
        <v>791</v>
      </c>
      <c r="B389" s="1" t="s">
        <v>3673</v>
      </c>
      <c r="C389" s="1" t="s">
        <v>3674</v>
      </c>
      <c r="D389" s="1" t="s">
        <v>3675</v>
      </c>
      <c r="E389" s="1" t="s">
        <v>3676</v>
      </c>
      <c r="F389" s="1" t="s">
        <v>3677</v>
      </c>
      <c r="G389" s="1" t="s">
        <v>1941</v>
      </c>
      <c r="H389" s="1">
        <v>6510.0</v>
      </c>
      <c r="I389" s="3" t="s">
        <v>1942</v>
      </c>
    </row>
    <row r="390" ht="15.75" customHeight="1">
      <c r="A390" s="1" t="s">
        <v>793</v>
      </c>
      <c r="B390" s="1" t="s">
        <v>3678</v>
      </c>
      <c r="C390" s="1" t="s">
        <v>3679</v>
      </c>
      <c r="D390" s="1" t="s">
        <v>3680</v>
      </c>
      <c r="E390" s="1" t="s">
        <v>3681</v>
      </c>
      <c r="F390" s="1" t="s">
        <v>3682</v>
      </c>
      <c r="G390" s="1" t="s">
        <v>1941</v>
      </c>
      <c r="H390" s="1">
        <v>30045.0</v>
      </c>
      <c r="I390" s="3" t="s">
        <v>1942</v>
      </c>
    </row>
    <row r="391" ht="15.75" customHeight="1">
      <c r="A391" s="1" t="s">
        <v>795</v>
      </c>
      <c r="B391" s="1" t="s">
        <v>3683</v>
      </c>
      <c r="C391" s="1" t="s">
        <v>3684</v>
      </c>
      <c r="D391" s="1" t="s">
        <v>3685</v>
      </c>
      <c r="E391" s="1" t="s">
        <v>3686</v>
      </c>
      <c r="F391" s="1" t="s">
        <v>3687</v>
      </c>
      <c r="G391" s="1" t="s">
        <v>1941</v>
      </c>
      <c r="H391" s="1">
        <v>28805.0</v>
      </c>
      <c r="I391" s="3" t="s">
        <v>1942</v>
      </c>
    </row>
    <row r="392" ht="15.75" customHeight="1">
      <c r="A392" s="1" t="s">
        <v>797</v>
      </c>
      <c r="B392" s="1" t="s">
        <v>3688</v>
      </c>
      <c r="C392" s="1" t="s">
        <v>3689</v>
      </c>
      <c r="D392" s="1"/>
      <c r="E392" s="1" t="s">
        <v>3690</v>
      </c>
      <c r="F392" s="1" t="s">
        <v>2233</v>
      </c>
      <c r="G392" s="1" t="s">
        <v>1941</v>
      </c>
      <c r="H392" s="1">
        <v>55123.0</v>
      </c>
      <c r="I392" s="3" t="s">
        <v>1942</v>
      </c>
    </row>
    <row r="393" ht="15.75" customHeight="1">
      <c r="A393" s="1" t="s">
        <v>799</v>
      </c>
      <c r="B393" s="1" t="s">
        <v>3691</v>
      </c>
      <c r="C393" s="1" t="s">
        <v>3692</v>
      </c>
      <c r="D393" s="1"/>
      <c r="E393" s="1" t="s">
        <v>3693</v>
      </c>
      <c r="F393" s="1" t="s">
        <v>2137</v>
      </c>
      <c r="G393" s="1" t="s">
        <v>1941</v>
      </c>
      <c r="H393" s="1">
        <v>55458.0</v>
      </c>
      <c r="I393" s="3" t="s">
        <v>1951</v>
      </c>
    </row>
    <row r="394" ht="15.75" customHeight="1">
      <c r="A394" s="1" t="s">
        <v>801</v>
      </c>
      <c r="B394" s="1" t="s">
        <v>3694</v>
      </c>
      <c r="C394" s="1" t="s">
        <v>3695</v>
      </c>
      <c r="D394" s="1" t="s">
        <v>3696</v>
      </c>
      <c r="E394" s="1" t="s">
        <v>3697</v>
      </c>
      <c r="F394" s="1" t="s">
        <v>2572</v>
      </c>
      <c r="G394" s="1" t="s">
        <v>1941</v>
      </c>
      <c r="H394" s="1">
        <v>92725.0</v>
      </c>
      <c r="I394" s="3" t="s">
        <v>1951</v>
      </c>
    </row>
    <row r="395" ht="15.75" customHeight="1">
      <c r="A395" s="1" t="s">
        <v>3698</v>
      </c>
      <c r="B395" s="1" t="s">
        <v>3699</v>
      </c>
      <c r="C395" s="1" t="s">
        <v>3700</v>
      </c>
      <c r="D395" s="1" t="s">
        <v>3701</v>
      </c>
      <c r="E395" s="1" t="s">
        <v>3702</v>
      </c>
      <c r="F395" s="1" t="s">
        <v>3703</v>
      </c>
      <c r="G395" s="1" t="s">
        <v>1941</v>
      </c>
      <c r="H395" s="1">
        <v>21747.0</v>
      </c>
      <c r="I395" s="3" t="s">
        <v>1942</v>
      </c>
    </row>
    <row r="396" ht="15.75" customHeight="1">
      <c r="A396" s="1" t="s">
        <v>803</v>
      </c>
      <c r="B396" s="1" t="s">
        <v>3704</v>
      </c>
      <c r="C396" s="1" t="s">
        <v>3705</v>
      </c>
      <c r="D396" s="1" t="s">
        <v>3706</v>
      </c>
      <c r="E396" s="1" t="s">
        <v>3707</v>
      </c>
      <c r="F396" s="1" t="s">
        <v>2137</v>
      </c>
      <c r="G396" s="1" t="s">
        <v>1941</v>
      </c>
      <c r="H396" s="1">
        <v>55458.0</v>
      </c>
      <c r="I396" s="3" t="s">
        <v>1951</v>
      </c>
    </row>
    <row r="397" ht="15.75" customHeight="1">
      <c r="A397" s="1" t="s">
        <v>805</v>
      </c>
      <c r="B397" s="1" t="s">
        <v>3708</v>
      </c>
      <c r="C397" s="1" t="s">
        <v>3709</v>
      </c>
      <c r="D397" s="1"/>
      <c r="E397" s="1" t="s">
        <v>3710</v>
      </c>
      <c r="F397" s="1" t="s">
        <v>2186</v>
      </c>
      <c r="G397" s="1" t="s">
        <v>1941</v>
      </c>
      <c r="H397" s="1">
        <v>20420.0</v>
      </c>
      <c r="I397" s="3" t="s">
        <v>1942</v>
      </c>
    </row>
    <row r="398" ht="15.75" customHeight="1">
      <c r="A398" s="1" t="s">
        <v>807</v>
      </c>
      <c r="B398" s="1" t="s">
        <v>3711</v>
      </c>
      <c r="C398" s="1" t="s">
        <v>3712</v>
      </c>
      <c r="D398" s="1" t="s">
        <v>3713</v>
      </c>
      <c r="E398" s="1" t="s">
        <v>3714</v>
      </c>
      <c r="F398" s="1" t="s">
        <v>2177</v>
      </c>
      <c r="G398" s="1" t="s">
        <v>1941</v>
      </c>
      <c r="H398" s="1">
        <v>92415.0</v>
      </c>
      <c r="I398" s="3" t="s">
        <v>1951</v>
      </c>
    </row>
    <row r="399" ht="15.75" customHeight="1">
      <c r="A399" s="1" t="s">
        <v>809</v>
      </c>
      <c r="B399" s="1" t="s">
        <v>3715</v>
      </c>
      <c r="C399" s="1" t="s">
        <v>3716</v>
      </c>
      <c r="D399" s="1" t="s">
        <v>3717</v>
      </c>
      <c r="E399" s="1" t="s">
        <v>3718</v>
      </c>
      <c r="F399" s="1" t="s">
        <v>2163</v>
      </c>
      <c r="G399" s="1" t="s">
        <v>1941</v>
      </c>
      <c r="H399" s="1">
        <v>14609.0</v>
      </c>
      <c r="I399" s="3" t="s">
        <v>1942</v>
      </c>
    </row>
    <row r="400" ht="15.75" customHeight="1">
      <c r="A400" s="1" t="s">
        <v>811</v>
      </c>
      <c r="B400" s="1" t="s">
        <v>3719</v>
      </c>
      <c r="C400" s="1" t="s">
        <v>3720</v>
      </c>
      <c r="D400" s="1" t="s">
        <v>3721</v>
      </c>
      <c r="E400" s="1" t="s">
        <v>3722</v>
      </c>
      <c r="F400" s="1" t="s">
        <v>2058</v>
      </c>
      <c r="G400" s="1" t="s">
        <v>1941</v>
      </c>
      <c r="H400" s="1">
        <v>98664.0</v>
      </c>
      <c r="I400" s="3" t="s">
        <v>1942</v>
      </c>
    </row>
    <row r="401" ht="15.75" customHeight="1">
      <c r="A401" s="1" t="s">
        <v>813</v>
      </c>
      <c r="B401" s="1" t="s">
        <v>3723</v>
      </c>
      <c r="C401" s="1" t="s">
        <v>3724</v>
      </c>
      <c r="D401" s="1" t="s">
        <v>3725</v>
      </c>
      <c r="E401" s="1" t="s">
        <v>3726</v>
      </c>
      <c r="F401" s="1" t="s">
        <v>3727</v>
      </c>
      <c r="G401" s="1" t="s">
        <v>2116</v>
      </c>
      <c r="H401" s="1" t="s">
        <v>3728</v>
      </c>
      <c r="I401" s="3" t="s">
        <v>1951</v>
      </c>
    </row>
    <row r="402" ht="15.75" customHeight="1">
      <c r="A402" s="1" t="s">
        <v>815</v>
      </c>
      <c r="B402" s="1" t="s">
        <v>3729</v>
      </c>
      <c r="C402" s="1" t="s">
        <v>3730</v>
      </c>
      <c r="D402" s="1" t="s">
        <v>3731</v>
      </c>
      <c r="E402" s="1" t="s">
        <v>3732</v>
      </c>
      <c r="F402" s="1" t="s">
        <v>2186</v>
      </c>
      <c r="G402" s="1" t="s">
        <v>1941</v>
      </c>
      <c r="H402" s="1">
        <v>20057.0</v>
      </c>
      <c r="I402" s="3" t="s">
        <v>1951</v>
      </c>
    </row>
    <row r="403" ht="15.75" customHeight="1">
      <c r="A403" s="1" t="s">
        <v>817</v>
      </c>
      <c r="B403" s="1" t="s">
        <v>3733</v>
      </c>
      <c r="C403" s="1" t="s">
        <v>3734</v>
      </c>
      <c r="D403" s="1" t="s">
        <v>3735</v>
      </c>
      <c r="E403" s="1" t="s">
        <v>3736</v>
      </c>
      <c r="F403" s="1" t="s">
        <v>3412</v>
      </c>
      <c r="G403" s="1" t="s">
        <v>1941</v>
      </c>
      <c r="H403" s="1">
        <v>37924.0</v>
      </c>
      <c r="I403" s="3" t="s">
        <v>1942</v>
      </c>
    </row>
    <row r="404" ht="15.75" customHeight="1">
      <c r="A404" s="1" t="s">
        <v>819</v>
      </c>
      <c r="B404" s="1" t="s">
        <v>3737</v>
      </c>
      <c r="C404" s="1" t="s">
        <v>3738</v>
      </c>
      <c r="D404" s="1" t="s">
        <v>3739</v>
      </c>
      <c r="E404" s="1" t="s">
        <v>3740</v>
      </c>
      <c r="F404" s="1" t="s">
        <v>2122</v>
      </c>
      <c r="G404" s="1" t="s">
        <v>1941</v>
      </c>
      <c r="H404" s="1">
        <v>25336.0</v>
      </c>
      <c r="I404" s="3" t="s">
        <v>1942</v>
      </c>
    </row>
    <row r="405" ht="15.75" customHeight="1">
      <c r="A405" s="1" t="s">
        <v>821</v>
      </c>
      <c r="B405" s="1" t="s">
        <v>3741</v>
      </c>
      <c r="C405" s="1" t="s">
        <v>3742</v>
      </c>
      <c r="D405" s="1" t="s">
        <v>3743</v>
      </c>
      <c r="E405" s="1" t="s">
        <v>3744</v>
      </c>
      <c r="F405" s="1" t="s">
        <v>2325</v>
      </c>
      <c r="G405" s="1" t="s">
        <v>1941</v>
      </c>
      <c r="H405" s="1">
        <v>75372.0</v>
      </c>
      <c r="I405" s="3" t="s">
        <v>1951</v>
      </c>
    </row>
    <row r="406" ht="15.75" customHeight="1">
      <c r="A406" s="1" t="s">
        <v>823</v>
      </c>
      <c r="B406" s="1" t="s">
        <v>3745</v>
      </c>
      <c r="C406" s="1" t="s">
        <v>3746</v>
      </c>
      <c r="D406" s="1" t="s">
        <v>3747</v>
      </c>
      <c r="E406" s="1" t="s">
        <v>3748</v>
      </c>
      <c r="F406" s="1" t="s">
        <v>3749</v>
      </c>
      <c r="G406" s="1" t="s">
        <v>1949</v>
      </c>
      <c r="H406" s="1" t="s">
        <v>3750</v>
      </c>
      <c r="I406" s="3" t="s">
        <v>1951</v>
      </c>
    </row>
    <row r="407" ht="15.75" customHeight="1">
      <c r="A407" s="1" t="s">
        <v>825</v>
      </c>
      <c r="B407" s="1" t="s">
        <v>3751</v>
      </c>
      <c r="C407" s="1" t="s">
        <v>3752</v>
      </c>
      <c r="D407" s="1" t="s">
        <v>3753</v>
      </c>
      <c r="E407" s="1" t="s">
        <v>3754</v>
      </c>
      <c r="F407" s="1" t="s">
        <v>3755</v>
      </c>
      <c r="G407" s="1" t="s">
        <v>1941</v>
      </c>
      <c r="H407" s="1">
        <v>95973.0</v>
      </c>
      <c r="I407" s="3" t="s">
        <v>1942</v>
      </c>
    </row>
    <row r="408" ht="15.75" customHeight="1">
      <c r="A408" s="1" t="s">
        <v>827</v>
      </c>
      <c r="B408" s="1" t="s">
        <v>3756</v>
      </c>
      <c r="C408" s="1" t="s">
        <v>3757</v>
      </c>
      <c r="D408" s="1" t="s">
        <v>3758</v>
      </c>
      <c r="E408" s="1" t="s">
        <v>3759</v>
      </c>
      <c r="F408" s="1" t="s">
        <v>2127</v>
      </c>
      <c r="G408" s="1" t="s">
        <v>1941</v>
      </c>
      <c r="H408" s="1">
        <v>72215.0</v>
      </c>
      <c r="I408" s="3" t="s">
        <v>1942</v>
      </c>
    </row>
    <row r="409" ht="15.75" customHeight="1">
      <c r="A409" s="1" t="s">
        <v>829</v>
      </c>
      <c r="B409" s="1" t="s">
        <v>3760</v>
      </c>
      <c r="C409" s="1"/>
      <c r="D409" s="1" t="s">
        <v>3761</v>
      </c>
      <c r="E409" s="1" t="s">
        <v>3762</v>
      </c>
      <c r="F409" s="1" t="s">
        <v>3763</v>
      </c>
      <c r="G409" s="1" t="s">
        <v>1949</v>
      </c>
      <c r="H409" s="1" t="s">
        <v>3764</v>
      </c>
      <c r="I409" s="3" t="s">
        <v>1951</v>
      </c>
    </row>
    <row r="410" ht="15.75" customHeight="1">
      <c r="A410" s="1" t="s">
        <v>831</v>
      </c>
      <c r="B410" s="1" t="s">
        <v>3765</v>
      </c>
      <c r="C410" s="1" t="s">
        <v>3766</v>
      </c>
      <c r="D410" s="1" t="s">
        <v>3767</v>
      </c>
      <c r="E410" s="1" t="s">
        <v>3768</v>
      </c>
      <c r="F410" s="1" t="s">
        <v>3769</v>
      </c>
      <c r="G410" s="1" t="s">
        <v>1941</v>
      </c>
      <c r="H410" s="1">
        <v>8922.0</v>
      </c>
      <c r="I410" s="3" t="s">
        <v>1942</v>
      </c>
    </row>
    <row r="411" ht="15.75" customHeight="1">
      <c r="A411" s="1" t="s">
        <v>833</v>
      </c>
      <c r="B411" s="1" t="s">
        <v>3770</v>
      </c>
      <c r="C411" s="1"/>
      <c r="D411" s="1" t="s">
        <v>3771</v>
      </c>
      <c r="E411" s="1" t="s">
        <v>3772</v>
      </c>
      <c r="F411" s="1" t="s">
        <v>3773</v>
      </c>
      <c r="G411" s="1" t="s">
        <v>1949</v>
      </c>
      <c r="H411" s="1" t="s">
        <v>3774</v>
      </c>
      <c r="I411" s="3" t="s">
        <v>1942</v>
      </c>
    </row>
    <row r="412" ht="15.75" customHeight="1">
      <c r="A412" s="1" t="s">
        <v>835</v>
      </c>
      <c r="B412" s="1" t="s">
        <v>3775</v>
      </c>
      <c r="C412" s="1"/>
      <c r="D412" s="1" t="s">
        <v>3776</v>
      </c>
      <c r="E412" s="1" t="s">
        <v>3777</v>
      </c>
      <c r="F412" s="1" t="s">
        <v>3090</v>
      </c>
      <c r="G412" s="1" t="s">
        <v>1941</v>
      </c>
      <c r="H412" s="1">
        <v>94132.0</v>
      </c>
      <c r="I412" s="3" t="s">
        <v>1951</v>
      </c>
    </row>
    <row r="413" ht="15.75" customHeight="1">
      <c r="A413" s="1" t="s">
        <v>837</v>
      </c>
      <c r="B413" s="1" t="s">
        <v>3778</v>
      </c>
      <c r="C413" s="1"/>
      <c r="D413" s="1" t="s">
        <v>3779</v>
      </c>
      <c r="E413" s="1" t="s">
        <v>3780</v>
      </c>
      <c r="F413" s="1" t="s">
        <v>3781</v>
      </c>
      <c r="G413" s="1" t="s">
        <v>1941</v>
      </c>
      <c r="H413" s="1">
        <v>70505.0</v>
      </c>
      <c r="I413" s="3" t="s">
        <v>1942</v>
      </c>
    </row>
    <row r="414" ht="15.75" customHeight="1">
      <c r="A414" s="1" t="s">
        <v>839</v>
      </c>
      <c r="B414" s="1" t="s">
        <v>3782</v>
      </c>
      <c r="C414" s="1"/>
      <c r="D414" s="1" t="s">
        <v>3783</v>
      </c>
      <c r="E414" s="1" t="s">
        <v>3784</v>
      </c>
      <c r="F414" s="1" t="s">
        <v>3785</v>
      </c>
      <c r="G414" s="1" t="s">
        <v>1941</v>
      </c>
      <c r="H414" s="1">
        <v>92191.0</v>
      </c>
      <c r="I414" s="3" t="s">
        <v>1942</v>
      </c>
    </row>
    <row r="415" ht="15.75" customHeight="1">
      <c r="A415" s="1" t="s">
        <v>841</v>
      </c>
      <c r="B415" s="1" t="s">
        <v>3786</v>
      </c>
      <c r="C415" s="1" t="s">
        <v>3787</v>
      </c>
      <c r="D415" s="1" t="s">
        <v>3788</v>
      </c>
      <c r="E415" s="1" t="s">
        <v>3789</v>
      </c>
      <c r="F415" s="1" t="s">
        <v>3790</v>
      </c>
      <c r="G415" s="1" t="s">
        <v>1941</v>
      </c>
      <c r="H415" s="1">
        <v>91841.0</v>
      </c>
      <c r="I415" s="3" t="s">
        <v>1942</v>
      </c>
    </row>
    <row r="416" ht="15.75" customHeight="1">
      <c r="A416" s="1" t="s">
        <v>843</v>
      </c>
      <c r="B416" s="1" t="s">
        <v>3791</v>
      </c>
      <c r="C416" s="1"/>
      <c r="D416" s="1" t="s">
        <v>3792</v>
      </c>
      <c r="E416" s="1" t="s">
        <v>3793</v>
      </c>
      <c r="F416" s="1" t="s">
        <v>3515</v>
      </c>
      <c r="G416" s="1" t="s">
        <v>1941</v>
      </c>
      <c r="H416" s="1">
        <v>75799.0</v>
      </c>
      <c r="I416" s="3" t="s">
        <v>1942</v>
      </c>
    </row>
    <row r="417" ht="15.75" customHeight="1">
      <c r="A417" s="1" t="s">
        <v>845</v>
      </c>
      <c r="B417" s="1" t="s">
        <v>3794</v>
      </c>
      <c r="C417" s="1" t="s">
        <v>3795</v>
      </c>
      <c r="D417" s="1"/>
      <c r="E417" s="1" t="s">
        <v>3796</v>
      </c>
      <c r="F417" s="1" t="s">
        <v>3781</v>
      </c>
      <c r="G417" s="1" t="s">
        <v>1941</v>
      </c>
      <c r="H417" s="1">
        <v>70593.0</v>
      </c>
      <c r="I417" s="3" t="s">
        <v>1951</v>
      </c>
    </row>
    <row r="418" ht="15.75" customHeight="1">
      <c r="A418" s="1" t="s">
        <v>847</v>
      </c>
      <c r="B418" s="1" t="s">
        <v>3797</v>
      </c>
      <c r="C418" s="1"/>
      <c r="D418" s="1" t="s">
        <v>3798</v>
      </c>
      <c r="E418" s="1" t="s">
        <v>3799</v>
      </c>
      <c r="F418" s="1" t="s">
        <v>1976</v>
      </c>
      <c r="G418" s="1" t="s">
        <v>1941</v>
      </c>
      <c r="H418" s="1">
        <v>45426.0</v>
      </c>
      <c r="I418" s="3" t="s">
        <v>1942</v>
      </c>
    </row>
    <row r="419" ht="15.75" customHeight="1">
      <c r="A419" s="1" t="s">
        <v>849</v>
      </c>
      <c r="B419" s="1" t="s">
        <v>3800</v>
      </c>
      <c r="C419" s="1"/>
      <c r="D419" s="1" t="s">
        <v>3801</v>
      </c>
      <c r="E419" s="1" t="s">
        <v>3802</v>
      </c>
      <c r="F419" s="1" t="s">
        <v>3099</v>
      </c>
      <c r="G419" s="1" t="s">
        <v>1941</v>
      </c>
      <c r="H419" s="1">
        <v>85072.0</v>
      </c>
      <c r="I419" s="3" t="s">
        <v>1942</v>
      </c>
    </row>
    <row r="420" ht="15.75" customHeight="1">
      <c r="A420" s="1" t="s">
        <v>851</v>
      </c>
      <c r="B420" s="1" t="s">
        <v>3803</v>
      </c>
      <c r="C420" s="1" t="s">
        <v>3804</v>
      </c>
      <c r="D420" s="1"/>
      <c r="E420" s="1" t="s">
        <v>3805</v>
      </c>
      <c r="F420" s="1" t="s">
        <v>2999</v>
      </c>
      <c r="G420" s="1" t="s">
        <v>1941</v>
      </c>
      <c r="H420" s="1">
        <v>94263.0</v>
      </c>
      <c r="I420" s="3" t="s">
        <v>1942</v>
      </c>
    </row>
    <row r="421" ht="15.75" customHeight="1">
      <c r="A421" s="1" t="s">
        <v>853</v>
      </c>
      <c r="B421" s="1" t="s">
        <v>3806</v>
      </c>
      <c r="C421" s="1" t="s">
        <v>3807</v>
      </c>
      <c r="D421" s="1" t="s">
        <v>3808</v>
      </c>
      <c r="E421" s="1" t="s">
        <v>3809</v>
      </c>
      <c r="F421" s="1" t="s">
        <v>3336</v>
      </c>
      <c r="G421" s="1" t="s">
        <v>1941</v>
      </c>
      <c r="H421" s="1">
        <v>68505.0</v>
      </c>
      <c r="I421" s="3" t="s">
        <v>1942</v>
      </c>
    </row>
    <row r="422" ht="15.75" customHeight="1">
      <c r="A422" s="1" t="s">
        <v>3810</v>
      </c>
      <c r="B422" s="1" t="s">
        <v>3811</v>
      </c>
      <c r="C422" s="1" t="s">
        <v>3812</v>
      </c>
      <c r="D422" s="1" t="s">
        <v>3813</v>
      </c>
      <c r="E422" s="1" t="s">
        <v>3814</v>
      </c>
      <c r="F422" s="1" t="s">
        <v>3662</v>
      </c>
      <c r="G422" s="1" t="s">
        <v>1941</v>
      </c>
      <c r="H422" s="1">
        <v>17126.0</v>
      </c>
      <c r="I422" s="3" t="s">
        <v>1951</v>
      </c>
    </row>
    <row r="423" ht="15.75" customHeight="1">
      <c r="A423" s="1" t="s">
        <v>3815</v>
      </c>
      <c r="B423" s="1" t="s">
        <v>3816</v>
      </c>
      <c r="C423" s="1" t="s">
        <v>3817</v>
      </c>
      <c r="D423" s="1" t="s">
        <v>3818</v>
      </c>
      <c r="E423" s="1" t="s">
        <v>3819</v>
      </c>
      <c r="F423" s="1" t="s">
        <v>2144</v>
      </c>
      <c r="G423" s="1" t="s">
        <v>1941</v>
      </c>
      <c r="H423" s="1">
        <v>70174.0</v>
      </c>
      <c r="I423" s="3" t="s">
        <v>1942</v>
      </c>
    </row>
    <row r="424" ht="15.75" customHeight="1">
      <c r="A424" s="1" t="s">
        <v>856</v>
      </c>
      <c r="B424" s="1" t="s">
        <v>3820</v>
      </c>
      <c r="C424" s="1"/>
      <c r="D424" s="1" t="s">
        <v>3821</v>
      </c>
      <c r="E424" s="1" t="s">
        <v>3822</v>
      </c>
      <c r="F424" s="1" t="s">
        <v>3823</v>
      </c>
      <c r="G424" s="1" t="s">
        <v>1941</v>
      </c>
      <c r="H424" s="1">
        <v>53726.0</v>
      </c>
      <c r="I424" s="3" t="s">
        <v>1951</v>
      </c>
    </row>
    <row r="425" ht="15.75" customHeight="1">
      <c r="A425" s="1" t="s">
        <v>858</v>
      </c>
      <c r="B425" s="1" t="s">
        <v>3824</v>
      </c>
      <c r="C425" s="1"/>
      <c r="D425" s="1" t="s">
        <v>3825</v>
      </c>
      <c r="E425" s="1" t="s">
        <v>3826</v>
      </c>
      <c r="F425" s="1" t="s">
        <v>2122</v>
      </c>
      <c r="G425" s="1" t="s">
        <v>1941</v>
      </c>
      <c r="H425" s="1">
        <v>25336.0</v>
      </c>
      <c r="I425" s="3" t="s">
        <v>1951</v>
      </c>
    </row>
    <row r="426" ht="15.75" customHeight="1">
      <c r="A426" s="1" t="s">
        <v>860</v>
      </c>
      <c r="B426" s="1" t="s">
        <v>3827</v>
      </c>
      <c r="C426" s="1" t="s">
        <v>3828</v>
      </c>
      <c r="D426" s="1" t="s">
        <v>3829</v>
      </c>
      <c r="E426" s="1" t="s">
        <v>3830</v>
      </c>
      <c r="F426" s="1" t="s">
        <v>2127</v>
      </c>
      <c r="G426" s="1" t="s">
        <v>1941</v>
      </c>
      <c r="H426" s="1">
        <v>72204.0</v>
      </c>
      <c r="I426" s="3" t="s">
        <v>1942</v>
      </c>
    </row>
    <row r="427" ht="15.75" customHeight="1">
      <c r="A427" s="1" t="s">
        <v>862</v>
      </c>
      <c r="B427" s="1" t="s">
        <v>3831</v>
      </c>
      <c r="C427" s="1" t="s">
        <v>3832</v>
      </c>
      <c r="D427" s="1" t="s">
        <v>3833</v>
      </c>
      <c r="E427" s="1" t="s">
        <v>3834</v>
      </c>
      <c r="F427" s="1" t="s">
        <v>2501</v>
      </c>
      <c r="G427" s="1" t="s">
        <v>1941</v>
      </c>
      <c r="H427" s="1">
        <v>99507.0</v>
      </c>
      <c r="I427" s="3" t="s">
        <v>1951</v>
      </c>
    </row>
    <row r="428" ht="15.75" customHeight="1">
      <c r="A428" s="1" t="s">
        <v>864</v>
      </c>
      <c r="B428" s="1" t="s">
        <v>3835</v>
      </c>
      <c r="C428" s="1" t="s">
        <v>3836</v>
      </c>
      <c r="D428" s="1" t="s">
        <v>3837</v>
      </c>
      <c r="E428" s="1" t="s">
        <v>3838</v>
      </c>
      <c r="F428" s="1" t="s">
        <v>3839</v>
      </c>
      <c r="G428" s="1" t="s">
        <v>1949</v>
      </c>
      <c r="H428" s="1" t="s">
        <v>3840</v>
      </c>
      <c r="I428" s="3" t="s">
        <v>1942</v>
      </c>
    </row>
    <row r="429" ht="15.75" customHeight="1">
      <c r="A429" s="1" t="s">
        <v>866</v>
      </c>
      <c r="B429" s="1" t="s">
        <v>3841</v>
      </c>
      <c r="C429" s="1"/>
      <c r="D429" s="1" t="s">
        <v>3842</v>
      </c>
      <c r="E429" s="1" t="s">
        <v>3843</v>
      </c>
      <c r="F429" s="1" t="s">
        <v>3090</v>
      </c>
      <c r="G429" s="1" t="s">
        <v>1941</v>
      </c>
      <c r="H429" s="1">
        <v>94110.0</v>
      </c>
      <c r="I429" s="3" t="s">
        <v>1942</v>
      </c>
    </row>
    <row r="430" ht="15.75" customHeight="1">
      <c r="A430" s="1" t="s">
        <v>868</v>
      </c>
      <c r="B430" s="1" t="s">
        <v>3844</v>
      </c>
      <c r="C430" s="1" t="s">
        <v>3845</v>
      </c>
      <c r="D430" s="1" t="s">
        <v>3846</v>
      </c>
      <c r="E430" s="1" t="s">
        <v>3847</v>
      </c>
      <c r="F430" s="1" t="s">
        <v>2840</v>
      </c>
      <c r="G430" s="1" t="s">
        <v>1941</v>
      </c>
      <c r="H430" s="1">
        <v>44485.0</v>
      </c>
      <c r="I430" s="3" t="s">
        <v>1951</v>
      </c>
    </row>
    <row r="431" ht="15.75" customHeight="1">
      <c r="A431" s="1" t="s">
        <v>3848</v>
      </c>
      <c r="B431" s="1" t="s">
        <v>3849</v>
      </c>
      <c r="C431" s="1" t="s">
        <v>3850</v>
      </c>
      <c r="D431" s="1" t="s">
        <v>3851</v>
      </c>
      <c r="E431" s="1" t="s">
        <v>3852</v>
      </c>
      <c r="F431" s="1" t="s">
        <v>3853</v>
      </c>
      <c r="G431" s="1" t="s">
        <v>1941</v>
      </c>
      <c r="H431" s="1">
        <v>23324.0</v>
      </c>
      <c r="I431" s="3" t="s">
        <v>1951</v>
      </c>
    </row>
    <row r="432" ht="15.75" customHeight="1">
      <c r="A432" s="1" t="s">
        <v>871</v>
      </c>
      <c r="B432" s="1" t="s">
        <v>3854</v>
      </c>
      <c r="C432" s="1" t="s">
        <v>3855</v>
      </c>
      <c r="D432" s="1" t="s">
        <v>3856</v>
      </c>
      <c r="E432" s="1" t="s">
        <v>3857</v>
      </c>
      <c r="F432" s="1" t="s">
        <v>3858</v>
      </c>
      <c r="G432" s="1" t="s">
        <v>1941</v>
      </c>
      <c r="H432" s="1">
        <v>39236.0</v>
      </c>
      <c r="I432" s="3" t="s">
        <v>1942</v>
      </c>
    </row>
    <row r="433" ht="15.75" customHeight="1">
      <c r="A433" s="1" t="s">
        <v>873</v>
      </c>
      <c r="B433" s="1" t="s">
        <v>3859</v>
      </c>
      <c r="C433" s="1" t="s">
        <v>3860</v>
      </c>
      <c r="D433" s="1" t="s">
        <v>3861</v>
      </c>
      <c r="E433" s="1" t="s">
        <v>3862</v>
      </c>
      <c r="F433" s="1" t="s">
        <v>3863</v>
      </c>
      <c r="G433" s="1" t="s">
        <v>1949</v>
      </c>
      <c r="H433" s="1" t="s">
        <v>3864</v>
      </c>
      <c r="I433" s="3" t="s">
        <v>1942</v>
      </c>
    </row>
    <row r="434" ht="15.75" customHeight="1">
      <c r="A434" s="1" t="s">
        <v>875</v>
      </c>
      <c r="B434" s="1" t="s">
        <v>3865</v>
      </c>
      <c r="C434" s="1"/>
      <c r="D434" s="1" t="s">
        <v>3866</v>
      </c>
      <c r="E434" s="1" t="s">
        <v>3867</v>
      </c>
      <c r="F434" s="1" t="s">
        <v>3121</v>
      </c>
      <c r="G434" s="1" t="s">
        <v>1941</v>
      </c>
      <c r="H434" s="1">
        <v>53277.0</v>
      </c>
      <c r="I434" s="3" t="s">
        <v>1951</v>
      </c>
    </row>
    <row r="435" ht="15.75" customHeight="1">
      <c r="A435" s="1" t="s">
        <v>877</v>
      </c>
      <c r="B435" s="1" t="s">
        <v>3868</v>
      </c>
      <c r="C435" s="1" t="s">
        <v>3869</v>
      </c>
      <c r="D435" s="1" t="s">
        <v>3870</v>
      </c>
      <c r="E435" s="1" t="s">
        <v>3871</v>
      </c>
      <c r="F435" s="1" t="s">
        <v>2999</v>
      </c>
      <c r="G435" s="1" t="s">
        <v>1941</v>
      </c>
      <c r="H435" s="1">
        <v>94250.0</v>
      </c>
      <c r="I435" s="3" t="s">
        <v>1942</v>
      </c>
    </row>
    <row r="436" ht="15.75" customHeight="1">
      <c r="A436" s="1" t="s">
        <v>879</v>
      </c>
      <c r="B436" s="1" t="s">
        <v>3872</v>
      </c>
      <c r="C436" s="1"/>
      <c r="D436" s="1" t="s">
        <v>3873</v>
      </c>
      <c r="E436" s="1" t="s">
        <v>3874</v>
      </c>
      <c r="F436" s="1" t="s">
        <v>2158</v>
      </c>
      <c r="G436" s="1" t="s">
        <v>1941</v>
      </c>
      <c r="H436" s="1">
        <v>2298.0</v>
      </c>
      <c r="I436" s="3" t="s">
        <v>1951</v>
      </c>
    </row>
    <row r="437" ht="15.75" customHeight="1">
      <c r="A437" s="1" t="s">
        <v>881</v>
      </c>
      <c r="B437" s="1" t="s">
        <v>3875</v>
      </c>
      <c r="C437" s="1" t="s">
        <v>3876</v>
      </c>
      <c r="D437" s="1" t="s">
        <v>3877</v>
      </c>
      <c r="E437" s="1" t="s">
        <v>3878</v>
      </c>
      <c r="F437" s="1" t="s">
        <v>3510</v>
      </c>
      <c r="G437" s="1" t="s">
        <v>1941</v>
      </c>
      <c r="H437" s="1">
        <v>66622.0</v>
      </c>
      <c r="I437" s="3" t="s">
        <v>1951</v>
      </c>
    </row>
    <row r="438" ht="15.75" customHeight="1">
      <c r="A438" s="1" t="s">
        <v>883</v>
      </c>
      <c r="B438" s="1" t="s">
        <v>3879</v>
      </c>
      <c r="C438" s="1" t="s">
        <v>3880</v>
      </c>
      <c r="D438" s="1" t="s">
        <v>3881</v>
      </c>
      <c r="E438" s="1" t="s">
        <v>3882</v>
      </c>
      <c r="F438" s="1" t="s">
        <v>2550</v>
      </c>
      <c r="G438" s="1" t="s">
        <v>1941</v>
      </c>
      <c r="H438" s="1">
        <v>58122.0</v>
      </c>
      <c r="I438" s="3" t="s">
        <v>1942</v>
      </c>
    </row>
    <row r="439" ht="15.75" customHeight="1">
      <c r="A439" s="1" t="s">
        <v>885</v>
      </c>
      <c r="B439" s="1" t="s">
        <v>3883</v>
      </c>
      <c r="C439" s="1"/>
      <c r="D439" s="1" t="s">
        <v>3884</v>
      </c>
      <c r="E439" s="1" t="s">
        <v>3885</v>
      </c>
      <c r="F439" s="1" t="s">
        <v>2027</v>
      </c>
      <c r="G439" s="1" t="s">
        <v>1941</v>
      </c>
      <c r="H439" s="1">
        <v>77095.0</v>
      </c>
      <c r="I439" s="3" t="s">
        <v>1951</v>
      </c>
    </row>
    <row r="440" ht="15.75" customHeight="1">
      <c r="A440" s="1" t="s">
        <v>3886</v>
      </c>
      <c r="B440" s="1" t="s">
        <v>3887</v>
      </c>
      <c r="C440" s="1" t="s">
        <v>3888</v>
      </c>
      <c r="D440" s="1" t="s">
        <v>3889</v>
      </c>
      <c r="E440" s="1" t="s">
        <v>3890</v>
      </c>
      <c r="F440" s="1" t="s">
        <v>2362</v>
      </c>
      <c r="G440" s="1" t="s">
        <v>1941</v>
      </c>
      <c r="H440" s="1">
        <v>73190.0</v>
      </c>
      <c r="I440" s="3" t="s">
        <v>1951</v>
      </c>
    </row>
    <row r="441" ht="15.75" customHeight="1">
      <c r="A441" s="1" t="s">
        <v>889</v>
      </c>
      <c r="B441" s="1" t="s">
        <v>3891</v>
      </c>
      <c r="C441" s="1" t="s">
        <v>3892</v>
      </c>
      <c r="D441" s="1" t="s">
        <v>3893</v>
      </c>
      <c r="E441" s="1" t="s">
        <v>3894</v>
      </c>
      <c r="F441" s="1" t="s">
        <v>2031</v>
      </c>
      <c r="G441" s="1" t="s">
        <v>1949</v>
      </c>
      <c r="H441" s="1" t="s">
        <v>2032</v>
      </c>
      <c r="I441" s="3" t="s">
        <v>1951</v>
      </c>
    </row>
    <row r="442" ht="15.75" customHeight="1">
      <c r="A442" s="1" t="s">
        <v>891</v>
      </c>
      <c r="B442" s="1" t="s">
        <v>3895</v>
      </c>
      <c r="C442" s="1" t="s">
        <v>3896</v>
      </c>
      <c r="D442" s="1" t="s">
        <v>3897</v>
      </c>
      <c r="E442" s="1" t="s">
        <v>3898</v>
      </c>
      <c r="F442" s="1" t="s">
        <v>2350</v>
      </c>
      <c r="G442" s="1" t="s">
        <v>1941</v>
      </c>
      <c r="H442" s="1">
        <v>14205.0</v>
      </c>
      <c r="I442" s="3" t="s">
        <v>1942</v>
      </c>
    </row>
    <row r="443" ht="15.75" customHeight="1">
      <c r="A443" s="1" t="s">
        <v>893</v>
      </c>
      <c r="B443" s="1" t="s">
        <v>3899</v>
      </c>
      <c r="C443" s="1" t="s">
        <v>3900</v>
      </c>
      <c r="D443" s="1" t="s">
        <v>3901</v>
      </c>
      <c r="E443" s="1" t="s">
        <v>3902</v>
      </c>
      <c r="F443" s="1" t="s">
        <v>3193</v>
      </c>
      <c r="G443" s="1" t="s">
        <v>1949</v>
      </c>
      <c r="H443" s="1" t="s">
        <v>3194</v>
      </c>
      <c r="I443" s="3" t="s">
        <v>1942</v>
      </c>
    </row>
    <row r="444" ht="15.75" customHeight="1">
      <c r="A444" s="1" t="s">
        <v>895</v>
      </c>
      <c r="B444" s="1" t="s">
        <v>3903</v>
      </c>
      <c r="C444" s="1" t="s">
        <v>3904</v>
      </c>
      <c r="D444" s="1" t="s">
        <v>3905</v>
      </c>
      <c r="E444" s="1" t="s">
        <v>3906</v>
      </c>
      <c r="F444" s="1" t="s">
        <v>3907</v>
      </c>
      <c r="G444" s="1" t="s">
        <v>1941</v>
      </c>
      <c r="H444" s="1">
        <v>18018.0</v>
      </c>
      <c r="I444" s="3" t="s">
        <v>1951</v>
      </c>
    </row>
    <row r="445" ht="15.75" customHeight="1">
      <c r="A445" s="1" t="s">
        <v>897</v>
      </c>
      <c r="B445" s="1" t="s">
        <v>3908</v>
      </c>
      <c r="C445" s="1" t="s">
        <v>3909</v>
      </c>
      <c r="D445" s="1" t="s">
        <v>3910</v>
      </c>
      <c r="E445" s="1" t="s">
        <v>3911</v>
      </c>
      <c r="F445" s="1" t="s">
        <v>3912</v>
      </c>
      <c r="G445" s="1" t="s">
        <v>1949</v>
      </c>
      <c r="H445" s="1" t="s">
        <v>3913</v>
      </c>
      <c r="I445" s="3" t="s">
        <v>1942</v>
      </c>
    </row>
    <row r="446" ht="15.75" customHeight="1">
      <c r="A446" s="1" t="s">
        <v>899</v>
      </c>
      <c r="B446" s="1" t="s">
        <v>3914</v>
      </c>
      <c r="C446" s="1" t="s">
        <v>3915</v>
      </c>
      <c r="D446" s="1" t="s">
        <v>3916</v>
      </c>
      <c r="E446" s="1" t="s">
        <v>3917</v>
      </c>
      <c r="F446" s="1" t="s">
        <v>3918</v>
      </c>
      <c r="G446" s="1" t="s">
        <v>1949</v>
      </c>
      <c r="H446" s="1" t="s">
        <v>3919</v>
      </c>
      <c r="I446" s="3" t="s">
        <v>1951</v>
      </c>
    </row>
    <row r="447" ht="15.75" customHeight="1">
      <c r="A447" s="1" t="s">
        <v>901</v>
      </c>
      <c r="B447" s="1" t="s">
        <v>3920</v>
      </c>
      <c r="C447" s="1" t="s">
        <v>3921</v>
      </c>
      <c r="D447" s="1"/>
      <c r="E447" s="1" t="s">
        <v>3922</v>
      </c>
      <c r="F447" s="1" t="s">
        <v>3402</v>
      </c>
      <c r="G447" s="1" t="s">
        <v>1949</v>
      </c>
      <c r="H447" s="1" t="s">
        <v>2083</v>
      </c>
      <c r="I447" s="3" t="s">
        <v>1942</v>
      </c>
    </row>
    <row r="448" ht="15.75" customHeight="1">
      <c r="A448" s="1" t="s">
        <v>903</v>
      </c>
      <c r="B448" s="1" t="s">
        <v>3923</v>
      </c>
      <c r="C448" s="1" t="s">
        <v>3924</v>
      </c>
      <c r="D448" s="1" t="s">
        <v>3925</v>
      </c>
      <c r="E448" s="1" t="s">
        <v>3926</v>
      </c>
      <c r="F448" s="1" t="s">
        <v>2172</v>
      </c>
      <c r="G448" s="1" t="s">
        <v>2116</v>
      </c>
      <c r="H448" s="1" t="s">
        <v>3927</v>
      </c>
      <c r="I448" s="3" t="s">
        <v>1942</v>
      </c>
    </row>
    <row r="449" ht="15.75" customHeight="1">
      <c r="A449" s="1" t="s">
        <v>905</v>
      </c>
      <c r="B449" s="1" t="s">
        <v>3928</v>
      </c>
      <c r="C449" s="1" t="s">
        <v>3929</v>
      </c>
      <c r="D449" s="1"/>
      <c r="E449" s="1" t="s">
        <v>3930</v>
      </c>
      <c r="F449" s="1" t="s">
        <v>3099</v>
      </c>
      <c r="G449" s="1" t="s">
        <v>1941</v>
      </c>
      <c r="H449" s="1">
        <v>85099.0</v>
      </c>
      <c r="I449" s="3" t="s">
        <v>1951</v>
      </c>
    </row>
    <row r="450" ht="15.75" customHeight="1">
      <c r="A450" s="1" t="s">
        <v>907</v>
      </c>
      <c r="B450" s="1" t="s">
        <v>3931</v>
      </c>
      <c r="C450" s="1" t="s">
        <v>3932</v>
      </c>
      <c r="D450" s="1" t="s">
        <v>3933</v>
      </c>
      <c r="E450" s="1" t="s">
        <v>3934</v>
      </c>
      <c r="F450" s="1" t="s">
        <v>3935</v>
      </c>
      <c r="G450" s="1" t="s">
        <v>1949</v>
      </c>
      <c r="H450" s="1" t="s">
        <v>3936</v>
      </c>
      <c r="I450" s="3" t="s">
        <v>1951</v>
      </c>
    </row>
    <row r="451" ht="15.75" customHeight="1">
      <c r="A451" s="1" t="s">
        <v>909</v>
      </c>
      <c r="B451" s="1" t="s">
        <v>3937</v>
      </c>
      <c r="C451" s="1" t="s">
        <v>3938</v>
      </c>
      <c r="D451" s="1" t="s">
        <v>3939</v>
      </c>
      <c r="E451" s="1" t="s">
        <v>3940</v>
      </c>
      <c r="F451" s="1" t="s">
        <v>2211</v>
      </c>
      <c r="G451" s="1" t="s">
        <v>1941</v>
      </c>
      <c r="H451" s="1">
        <v>43610.0</v>
      </c>
      <c r="I451" s="3" t="s">
        <v>1951</v>
      </c>
    </row>
    <row r="452" ht="15.75" customHeight="1">
      <c r="A452" s="1" t="s">
        <v>911</v>
      </c>
      <c r="B452" s="1" t="s">
        <v>3941</v>
      </c>
      <c r="C452" s="1" t="s">
        <v>3942</v>
      </c>
      <c r="D452" s="1" t="s">
        <v>3943</v>
      </c>
      <c r="E452" s="1" t="s">
        <v>3944</v>
      </c>
      <c r="F452" s="1" t="s">
        <v>3945</v>
      </c>
      <c r="G452" s="1" t="s">
        <v>1949</v>
      </c>
      <c r="H452" s="1" t="s">
        <v>3946</v>
      </c>
      <c r="I452" s="3" t="s">
        <v>1951</v>
      </c>
    </row>
    <row r="453" ht="15.75" customHeight="1">
      <c r="A453" s="1" t="s">
        <v>913</v>
      </c>
      <c r="B453" s="1" t="s">
        <v>3947</v>
      </c>
      <c r="C453" s="1" t="s">
        <v>3948</v>
      </c>
      <c r="D453" s="1" t="s">
        <v>3949</v>
      </c>
      <c r="E453" s="1" t="s">
        <v>3950</v>
      </c>
      <c r="F453" s="1" t="s">
        <v>2300</v>
      </c>
      <c r="G453" s="1" t="s">
        <v>1941</v>
      </c>
      <c r="H453" s="1">
        <v>28210.0</v>
      </c>
      <c r="I453" s="3" t="s">
        <v>1942</v>
      </c>
    </row>
    <row r="454" ht="15.75" customHeight="1">
      <c r="A454" s="1" t="s">
        <v>887</v>
      </c>
      <c r="B454" s="1" t="s">
        <v>3951</v>
      </c>
      <c r="C454" s="1" t="s">
        <v>3952</v>
      </c>
      <c r="D454" s="1" t="s">
        <v>3953</v>
      </c>
      <c r="E454" s="1" t="s">
        <v>3954</v>
      </c>
      <c r="F454" s="1" t="s">
        <v>3492</v>
      </c>
      <c r="G454" s="1" t="s">
        <v>1941</v>
      </c>
      <c r="H454" s="1">
        <v>98109.0</v>
      </c>
      <c r="I454" s="3" t="s">
        <v>1951</v>
      </c>
    </row>
    <row r="455" ht="15.75" customHeight="1">
      <c r="A455" s="1" t="s">
        <v>916</v>
      </c>
      <c r="B455" s="1" t="s">
        <v>3955</v>
      </c>
      <c r="C455" s="1" t="s">
        <v>3956</v>
      </c>
      <c r="D455" s="1" t="s">
        <v>3957</v>
      </c>
      <c r="E455" s="1" t="s">
        <v>3958</v>
      </c>
      <c r="F455" s="1" t="s">
        <v>3004</v>
      </c>
      <c r="G455" s="1" t="s">
        <v>1941</v>
      </c>
      <c r="H455" s="1">
        <v>18706.0</v>
      </c>
      <c r="I455" s="3" t="s">
        <v>1951</v>
      </c>
    </row>
    <row r="456" ht="15.75" customHeight="1">
      <c r="A456" s="1" t="s">
        <v>918</v>
      </c>
      <c r="B456" s="1" t="s">
        <v>3959</v>
      </c>
      <c r="C456" s="1" t="s">
        <v>3960</v>
      </c>
      <c r="D456" s="1"/>
      <c r="E456" s="1" t="s">
        <v>3961</v>
      </c>
      <c r="F456" s="1" t="s">
        <v>3962</v>
      </c>
      <c r="G456" s="1" t="s">
        <v>1949</v>
      </c>
      <c r="H456" s="1" t="s">
        <v>1950</v>
      </c>
      <c r="I456" s="3" t="s">
        <v>1942</v>
      </c>
    </row>
    <row r="457" ht="15.75" customHeight="1">
      <c r="A457" s="1" t="s">
        <v>920</v>
      </c>
      <c r="B457" s="1" t="s">
        <v>3963</v>
      </c>
      <c r="C457" s="1" t="s">
        <v>3964</v>
      </c>
      <c r="D457" s="1" t="s">
        <v>3965</v>
      </c>
      <c r="E457" s="1" t="s">
        <v>3966</v>
      </c>
      <c r="F457" s="1" t="s">
        <v>3967</v>
      </c>
      <c r="G457" s="1" t="s">
        <v>1949</v>
      </c>
      <c r="H457" s="1" t="s">
        <v>2771</v>
      </c>
      <c r="I457" s="3" t="s">
        <v>1942</v>
      </c>
    </row>
    <row r="458" ht="15.75" customHeight="1">
      <c r="A458" s="1" t="s">
        <v>922</v>
      </c>
      <c r="B458" s="1" t="s">
        <v>3968</v>
      </c>
      <c r="C458" s="1" t="s">
        <v>3969</v>
      </c>
      <c r="D458" s="1" t="s">
        <v>3970</v>
      </c>
      <c r="E458" s="1" t="s">
        <v>3971</v>
      </c>
      <c r="F458" s="1" t="s">
        <v>2281</v>
      </c>
      <c r="G458" s="1" t="s">
        <v>2116</v>
      </c>
      <c r="H458" s="1" t="s">
        <v>3972</v>
      </c>
      <c r="I458" s="3" t="s">
        <v>1951</v>
      </c>
    </row>
    <row r="459" ht="15.75" customHeight="1">
      <c r="A459" s="1" t="s">
        <v>924</v>
      </c>
      <c r="B459" s="1" t="s">
        <v>3973</v>
      </c>
      <c r="C459" s="1" t="s">
        <v>3974</v>
      </c>
      <c r="D459" s="1" t="s">
        <v>3975</v>
      </c>
      <c r="E459" s="1" t="s">
        <v>3976</v>
      </c>
      <c r="F459" s="1" t="s">
        <v>2163</v>
      </c>
      <c r="G459" s="1" t="s">
        <v>1941</v>
      </c>
      <c r="H459" s="1">
        <v>14652.0</v>
      </c>
      <c r="I459" s="3" t="s">
        <v>1951</v>
      </c>
    </row>
    <row r="460" ht="15.75" customHeight="1">
      <c r="A460" s="1" t="s">
        <v>926</v>
      </c>
      <c r="B460" s="1" t="s">
        <v>3977</v>
      </c>
      <c r="C460" s="1" t="s">
        <v>3978</v>
      </c>
      <c r="D460" s="1" t="s">
        <v>3979</v>
      </c>
      <c r="E460" s="1" t="s">
        <v>3980</v>
      </c>
      <c r="F460" s="1" t="s">
        <v>2140</v>
      </c>
      <c r="G460" s="1" t="s">
        <v>1941</v>
      </c>
      <c r="H460" s="1">
        <v>85754.0</v>
      </c>
      <c r="I460" s="3" t="s">
        <v>1951</v>
      </c>
    </row>
    <row r="461" ht="15.75" customHeight="1">
      <c r="A461" s="1" t="s">
        <v>928</v>
      </c>
      <c r="B461" s="1" t="s">
        <v>3981</v>
      </c>
      <c r="C461" s="1" t="s">
        <v>3982</v>
      </c>
      <c r="D461" s="1" t="s">
        <v>3983</v>
      </c>
      <c r="E461" s="1" t="s">
        <v>3984</v>
      </c>
      <c r="F461" s="1" t="s">
        <v>2137</v>
      </c>
      <c r="G461" s="1" t="s">
        <v>1941</v>
      </c>
      <c r="H461" s="1">
        <v>55480.0</v>
      </c>
      <c r="I461" s="3" t="s">
        <v>1951</v>
      </c>
    </row>
    <row r="462" ht="15.75" customHeight="1">
      <c r="A462" s="1" t="s">
        <v>930</v>
      </c>
      <c r="B462" s="1" t="s">
        <v>3985</v>
      </c>
      <c r="C462" s="1" t="s">
        <v>3986</v>
      </c>
      <c r="D462" s="1" t="s">
        <v>3987</v>
      </c>
      <c r="E462" s="1" t="s">
        <v>3988</v>
      </c>
      <c r="F462" s="1" t="s">
        <v>3989</v>
      </c>
      <c r="G462" s="1" t="s">
        <v>1949</v>
      </c>
      <c r="H462" s="1" t="s">
        <v>3990</v>
      </c>
      <c r="I462" s="3" t="s">
        <v>1942</v>
      </c>
    </row>
    <row r="463" ht="15.75" customHeight="1">
      <c r="A463" s="1" t="s">
        <v>932</v>
      </c>
      <c r="B463" s="1" t="s">
        <v>3991</v>
      </c>
      <c r="C463" s="1" t="s">
        <v>3992</v>
      </c>
      <c r="D463" s="1" t="s">
        <v>3993</v>
      </c>
      <c r="E463" s="1" t="s">
        <v>3994</v>
      </c>
      <c r="F463" s="1" t="s">
        <v>3995</v>
      </c>
      <c r="G463" s="1" t="s">
        <v>2116</v>
      </c>
      <c r="H463" s="1" t="s">
        <v>3996</v>
      </c>
      <c r="I463" s="3" t="s">
        <v>1942</v>
      </c>
    </row>
    <row r="464" ht="15.75" customHeight="1">
      <c r="A464" s="1" t="s">
        <v>934</v>
      </c>
      <c r="B464" s="1" t="s">
        <v>3997</v>
      </c>
      <c r="C464" s="1" t="s">
        <v>3998</v>
      </c>
      <c r="D464" s="1" t="s">
        <v>3999</v>
      </c>
      <c r="E464" s="1" t="s">
        <v>4000</v>
      </c>
      <c r="F464" s="1" t="s">
        <v>3049</v>
      </c>
      <c r="G464" s="1" t="s">
        <v>1941</v>
      </c>
      <c r="H464" s="1">
        <v>31119.0</v>
      </c>
      <c r="I464" s="3" t="s">
        <v>1942</v>
      </c>
    </row>
    <row r="465" ht="15.75" customHeight="1">
      <c r="A465" s="1" t="s">
        <v>936</v>
      </c>
      <c r="B465" s="1" t="s">
        <v>4001</v>
      </c>
      <c r="C465" s="1" t="s">
        <v>4002</v>
      </c>
      <c r="D465" s="1" t="s">
        <v>4003</v>
      </c>
      <c r="E465" s="1" t="s">
        <v>4004</v>
      </c>
      <c r="F465" s="1" t="s">
        <v>4005</v>
      </c>
      <c r="G465" s="1" t="s">
        <v>1949</v>
      </c>
      <c r="H465" s="1" t="s">
        <v>4006</v>
      </c>
      <c r="I465" s="3" t="s">
        <v>1951</v>
      </c>
    </row>
    <row r="466" ht="15.75" customHeight="1">
      <c r="A466" s="1" t="s">
        <v>938</v>
      </c>
      <c r="B466" s="1" t="s">
        <v>4007</v>
      </c>
      <c r="C466" s="1" t="s">
        <v>4008</v>
      </c>
      <c r="D466" s="1" t="s">
        <v>4009</v>
      </c>
      <c r="E466" s="1" t="s">
        <v>4010</v>
      </c>
      <c r="F466" s="1" t="s">
        <v>2872</v>
      </c>
      <c r="G466" s="1" t="s">
        <v>2116</v>
      </c>
      <c r="H466" s="1" t="s">
        <v>2873</v>
      </c>
      <c r="I466" s="3" t="s">
        <v>1951</v>
      </c>
    </row>
    <row r="467" ht="15.75" customHeight="1">
      <c r="A467" s="1" t="s">
        <v>940</v>
      </c>
      <c r="B467" s="1" t="s">
        <v>4011</v>
      </c>
      <c r="C467" s="1" t="s">
        <v>4012</v>
      </c>
      <c r="D467" s="1" t="s">
        <v>4013</v>
      </c>
      <c r="E467" s="1" t="s">
        <v>4014</v>
      </c>
      <c r="F467" s="1" t="s">
        <v>3412</v>
      </c>
      <c r="G467" s="1" t="s">
        <v>1941</v>
      </c>
      <c r="H467" s="1">
        <v>37939.0</v>
      </c>
      <c r="I467" s="3" t="s">
        <v>1942</v>
      </c>
    </row>
    <row r="468" ht="15.75" customHeight="1">
      <c r="A468" s="1" t="s">
        <v>942</v>
      </c>
      <c r="B468" s="1" t="s">
        <v>4015</v>
      </c>
      <c r="C468" s="1" t="s">
        <v>4016</v>
      </c>
      <c r="D468" s="1" t="s">
        <v>4017</v>
      </c>
      <c r="E468" s="1" t="s">
        <v>4018</v>
      </c>
      <c r="F468" s="1" t="s">
        <v>4019</v>
      </c>
      <c r="G468" s="1" t="s">
        <v>1941</v>
      </c>
      <c r="H468" s="1">
        <v>48604.0</v>
      </c>
      <c r="I468" s="3" t="s">
        <v>1942</v>
      </c>
    </row>
    <row r="469" ht="15.75" customHeight="1">
      <c r="A469" s="1" t="s">
        <v>944</v>
      </c>
      <c r="B469" s="1" t="s">
        <v>4020</v>
      </c>
      <c r="C469" s="1" t="s">
        <v>4021</v>
      </c>
      <c r="D469" s="1" t="s">
        <v>4022</v>
      </c>
      <c r="E469" s="1" t="s">
        <v>4023</v>
      </c>
      <c r="F469" s="1" t="s">
        <v>4024</v>
      </c>
      <c r="G469" s="1" t="s">
        <v>1941</v>
      </c>
      <c r="H469" s="1">
        <v>32092.0</v>
      </c>
      <c r="I469" s="3" t="s">
        <v>1951</v>
      </c>
    </row>
    <row r="470" ht="15.75" customHeight="1">
      <c r="A470" s="1" t="s">
        <v>946</v>
      </c>
      <c r="B470" s="1" t="s">
        <v>4025</v>
      </c>
      <c r="C470" s="1" t="s">
        <v>4026</v>
      </c>
      <c r="D470" s="1"/>
      <c r="E470" s="1" t="s">
        <v>4027</v>
      </c>
      <c r="F470" s="1" t="s">
        <v>4028</v>
      </c>
      <c r="G470" s="1" t="s">
        <v>1941</v>
      </c>
      <c r="H470" s="1">
        <v>94913.0</v>
      </c>
      <c r="I470" s="3" t="s">
        <v>1942</v>
      </c>
    </row>
    <row r="471" ht="15.75" customHeight="1">
      <c r="A471" s="1" t="s">
        <v>4029</v>
      </c>
      <c r="B471" s="1" t="s">
        <v>4030</v>
      </c>
      <c r="C471" s="1" t="s">
        <v>4031</v>
      </c>
      <c r="D471" s="1" t="s">
        <v>4032</v>
      </c>
      <c r="E471" s="1" t="s">
        <v>4033</v>
      </c>
      <c r="F471" s="1" t="s">
        <v>1995</v>
      </c>
      <c r="G471" s="1" t="s">
        <v>1941</v>
      </c>
      <c r="H471" s="1">
        <v>95113.0</v>
      </c>
      <c r="I471" s="3" t="s">
        <v>1942</v>
      </c>
    </row>
    <row r="472" ht="15.75" customHeight="1">
      <c r="A472" s="1" t="s">
        <v>950</v>
      </c>
      <c r="B472" s="1" t="s">
        <v>4034</v>
      </c>
      <c r="C472" s="1" t="s">
        <v>4035</v>
      </c>
      <c r="D472" s="1" t="s">
        <v>4036</v>
      </c>
      <c r="E472" s="1" t="s">
        <v>4037</v>
      </c>
      <c r="F472" s="1" t="s">
        <v>3682</v>
      </c>
      <c r="G472" s="1" t="s">
        <v>1941</v>
      </c>
      <c r="H472" s="1">
        <v>30045.0</v>
      </c>
      <c r="I472" s="3" t="s">
        <v>1942</v>
      </c>
    </row>
    <row r="473" ht="15.75" customHeight="1">
      <c r="A473" s="1" t="s">
        <v>952</v>
      </c>
      <c r="B473" s="1" t="s">
        <v>4038</v>
      </c>
      <c r="C473" s="1"/>
      <c r="D473" s="1" t="s">
        <v>4039</v>
      </c>
      <c r="E473" s="1" t="s">
        <v>4040</v>
      </c>
      <c r="F473" s="1" t="s">
        <v>3510</v>
      </c>
      <c r="G473" s="1" t="s">
        <v>1941</v>
      </c>
      <c r="H473" s="1">
        <v>66622.0</v>
      </c>
      <c r="I473" s="3" t="s">
        <v>1942</v>
      </c>
    </row>
    <row r="474" ht="15.75" customHeight="1">
      <c r="A474" s="1" t="s">
        <v>954</v>
      </c>
      <c r="B474" s="1" t="s">
        <v>4041</v>
      </c>
      <c r="C474" s="1" t="s">
        <v>4042</v>
      </c>
      <c r="D474" s="1" t="s">
        <v>4043</v>
      </c>
      <c r="E474" s="1" t="s">
        <v>4044</v>
      </c>
      <c r="F474" s="1" t="s">
        <v>2988</v>
      </c>
      <c r="G474" s="1" t="s">
        <v>1941</v>
      </c>
      <c r="H474" s="1">
        <v>66276.0</v>
      </c>
      <c r="I474" s="3" t="s">
        <v>1951</v>
      </c>
    </row>
    <row r="475" ht="15.75" customHeight="1">
      <c r="A475" s="1" t="s">
        <v>956</v>
      </c>
      <c r="B475" s="1" t="s">
        <v>4045</v>
      </c>
      <c r="C475" s="1" t="s">
        <v>4046</v>
      </c>
      <c r="D475" s="1" t="s">
        <v>4047</v>
      </c>
      <c r="E475" s="1" t="s">
        <v>4048</v>
      </c>
      <c r="F475" s="1" t="s">
        <v>3492</v>
      </c>
      <c r="G475" s="1" t="s">
        <v>1941</v>
      </c>
      <c r="H475" s="1">
        <v>98148.0</v>
      </c>
      <c r="I475" s="3" t="s">
        <v>1951</v>
      </c>
    </row>
    <row r="476" ht="15.75" customHeight="1">
      <c r="A476" s="1" t="s">
        <v>958</v>
      </c>
      <c r="B476" s="1" t="s">
        <v>4049</v>
      </c>
      <c r="C476" s="1" t="s">
        <v>4050</v>
      </c>
      <c r="D476" s="1" t="s">
        <v>4051</v>
      </c>
      <c r="E476" s="1" t="s">
        <v>4052</v>
      </c>
      <c r="F476" s="1" t="s">
        <v>3080</v>
      </c>
      <c r="G476" s="1" t="s">
        <v>1949</v>
      </c>
      <c r="H476" s="1" t="s">
        <v>3081</v>
      </c>
      <c r="I476" s="3" t="s">
        <v>1942</v>
      </c>
    </row>
    <row r="477" ht="15.75" customHeight="1">
      <c r="A477" s="1" t="s">
        <v>960</v>
      </c>
      <c r="B477" s="1" t="s">
        <v>4053</v>
      </c>
      <c r="C477" s="1" t="s">
        <v>4054</v>
      </c>
      <c r="D477" s="1"/>
      <c r="E477" s="1" t="s">
        <v>4055</v>
      </c>
      <c r="F477" s="1" t="s">
        <v>4056</v>
      </c>
      <c r="G477" s="1" t="s">
        <v>1941</v>
      </c>
      <c r="H477" s="1">
        <v>34745.0</v>
      </c>
      <c r="I477" s="3" t="s">
        <v>1951</v>
      </c>
    </row>
    <row r="478" ht="15.75" customHeight="1">
      <c r="A478" s="1" t="s">
        <v>962</v>
      </c>
      <c r="B478" s="1" t="s">
        <v>4057</v>
      </c>
      <c r="C478" s="1" t="s">
        <v>4058</v>
      </c>
      <c r="D478" s="1" t="s">
        <v>4059</v>
      </c>
      <c r="E478" s="1" t="s">
        <v>4060</v>
      </c>
      <c r="F478" s="1" t="s">
        <v>2163</v>
      </c>
      <c r="G478" s="1" t="s">
        <v>1941</v>
      </c>
      <c r="H478" s="1">
        <v>14683.0</v>
      </c>
      <c r="I478" s="3" t="s">
        <v>1942</v>
      </c>
    </row>
    <row r="479" ht="15.75" customHeight="1">
      <c r="A479" s="1" t="s">
        <v>964</v>
      </c>
      <c r="B479" s="1" t="s">
        <v>4061</v>
      </c>
      <c r="C479" s="1" t="s">
        <v>4062</v>
      </c>
      <c r="D479" s="1" t="s">
        <v>4063</v>
      </c>
      <c r="E479" s="1" t="s">
        <v>4064</v>
      </c>
      <c r="F479" s="1" t="s">
        <v>3515</v>
      </c>
      <c r="G479" s="1" t="s">
        <v>1941</v>
      </c>
      <c r="H479" s="1">
        <v>75799.0</v>
      </c>
      <c r="I479" s="3" t="s">
        <v>1951</v>
      </c>
    </row>
    <row r="480" ht="15.75" customHeight="1">
      <c r="A480" s="1" t="s">
        <v>948</v>
      </c>
      <c r="B480" s="1" t="s">
        <v>4065</v>
      </c>
      <c r="C480" s="1" t="s">
        <v>4066</v>
      </c>
      <c r="D480" s="1" t="s">
        <v>4067</v>
      </c>
      <c r="E480" s="1" t="s">
        <v>4068</v>
      </c>
      <c r="F480" s="1" t="s">
        <v>4069</v>
      </c>
      <c r="G480" s="1" t="s">
        <v>1941</v>
      </c>
      <c r="H480" s="1">
        <v>11388.0</v>
      </c>
      <c r="I480" s="3" t="s">
        <v>1942</v>
      </c>
    </row>
    <row r="481" ht="15.75" customHeight="1">
      <c r="A481" s="1" t="s">
        <v>4070</v>
      </c>
      <c r="B481" s="1" t="s">
        <v>4071</v>
      </c>
      <c r="C481" s="1"/>
      <c r="D481" s="1" t="s">
        <v>4072</v>
      </c>
      <c r="E481" s="1" t="s">
        <v>4073</v>
      </c>
      <c r="F481" s="1" t="s">
        <v>4074</v>
      </c>
      <c r="G481" s="1" t="s">
        <v>1941</v>
      </c>
      <c r="H481" s="1">
        <v>20167.0</v>
      </c>
      <c r="I481" s="3" t="s">
        <v>1942</v>
      </c>
    </row>
    <row r="482" ht="15.75" customHeight="1">
      <c r="A482" s="1" t="s">
        <v>4075</v>
      </c>
      <c r="B482" s="1" t="s">
        <v>4076</v>
      </c>
      <c r="C482" s="1" t="s">
        <v>4077</v>
      </c>
      <c r="D482" s="1" t="s">
        <v>4078</v>
      </c>
      <c r="E482" s="1" t="s">
        <v>4079</v>
      </c>
      <c r="F482" s="1" t="s">
        <v>2004</v>
      </c>
      <c r="G482" s="1" t="s">
        <v>1941</v>
      </c>
      <c r="H482" s="1">
        <v>23203.0</v>
      </c>
      <c r="I482" s="3" t="s">
        <v>1951</v>
      </c>
    </row>
    <row r="483" ht="15.75" customHeight="1">
      <c r="A483" s="1" t="s">
        <v>967</v>
      </c>
      <c r="B483" s="1" t="s">
        <v>4080</v>
      </c>
      <c r="C483" s="1" t="s">
        <v>4081</v>
      </c>
      <c r="D483" s="1" t="s">
        <v>4082</v>
      </c>
      <c r="E483" s="1" t="s">
        <v>4083</v>
      </c>
      <c r="F483" s="1" t="s">
        <v>4084</v>
      </c>
      <c r="G483" s="1" t="s">
        <v>2116</v>
      </c>
      <c r="H483" s="1" t="s">
        <v>2393</v>
      </c>
      <c r="I483" s="3" t="s">
        <v>1951</v>
      </c>
    </row>
    <row r="484" ht="15.75" customHeight="1">
      <c r="A484" s="1" t="s">
        <v>969</v>
      </c>
      <c r="B484" s="1" t="s">
        <v>4085</v>
      </c>
      <c r="C484" s="1" t="s">
        <v>4086</v>
      </c>
      <c r="D484" s="1" t="s">
        <v>4087</v>
      </c>
      <c r="E484" s="1" t="s">
        <v>4088</v>
      </c>
      <c r="F484" s="1" t="s">
        <v>2699</v>
      </c>
      <c r="G484" s="1" t="s">
        <v>1941</v>
      </c>
      <c r="H484" s="1">
        <v>22309.0</v>
      </c>
      <c r="I484" s="3" t="s">
        <v>1942</v>
      </c>
    </row>
    <row r="485" ht="15.75" customHeight="1">
      <c r="A485" s="1" t="s">
        <v>971</v>
      </c>
      <c r="B485" s="1" t="s">
        <v>4089</v>
      </c>
      <c r="C485" s="1"/>
      <c r="D485" s="1" t="s">
        <v>4090</v>
      </c>
      <c r="E485" s="1" t="s">
        <v>4091</v>
      </c>
      <c r="F485" s="1" t="s">
        <v>2938</v>
      </c>
      <c r="G485" s="1" t="s">
        <v>1941</v>
      </c>
      <c r="H485" s="1">
        <v>84115.0</v>
      </c>
      <c r="I485" s="3" t="s">
        <v>1942</v>
      </c>
    </row>
    <row r="486" ht="15.75" customHeight="1">
      <c r="A486" s="1" t="s">
        <v>973</v>
      </c>
      <c r="B486" s="1" t="s">
        <v>4092</v>
      </c>
      <c r="C486" s="1" t="s">
        <v>4093</v>
      </c>
      <c r="D486" s="1"/>
      <c r="E486" s="1" t="s">
        <v>4094</v>
      </c>
      <c r="F486" s="1" t="s">
        <v>1995</v>
      </c>
      <c r="G486" s="1" t="s">
        <v>1941</v>
      </c>
      <c r="H486" s="1">
        <v>95108.0</v>
      </c>
      <c r="I486" s="3" t="s">
        <v>1951</v>
      </c>
    </row>
    <row r="487" ht="15.75" customHeight="1">
      <c r="A487" s="1" t="s">
        <v>975</v>
      </c>
      <c r="B487" s="1" t="s">
        <v>4095</v>
      </c>
      <c r="C487" s="1" t="s">
        <v>4096</v>
      </c>
      <c r="D487" s="1" t="s">
        <v>4097</v>
      </c>
      <c r="E487" s="1" t="s">
        <v>4098</v>
      </c>
      <c r="F487" s="1" t="s">
        <v>4099</v>
      </c>
      <c r="G487" s="1" t="s">
        <v>1949</v>
      </c>
      <c r="H487" s="1" t="s">
        <v>4100</v>
      </c>
      <c r="I487" s="3" t="s">
        <v>1942</v>
      </c>
    </row>
    <row r="488" ht="15.75" customHeight="1">
      <c r="A488" s="1" t="s">
        <v>977</v>
      </c>
      <c r="B488" s="1" t="s">
        <v>4101</v>
      </c>
      <c r="C488" s="1" t="s">
        <v>4102</v>
      </c>
      <c r="D488" s="1" t="s">
        <v>4103</v>
      </c>
      <c r="E488" s="1" t="s">
        <v>4104</v>
      </c>
      <c r="F488" s="1" t="s">
        <v>4105</v>
      </c>
      <c r="G488" s="1" t="s">
        <v>1949</v>
      </c>
      <c r="H488" s="1" t="s">
        <v>2545</v>
      </c>
      <c r="I488" s="3" t="s">
        <v>1942</v>
      </c>
    </row>
    <row r="489" ht="15.75" customHeight="1">
      <c r="A489" s="1" t="s">
        <v>979</v>
      </c>
      <c r="B489" s="1" t="s">
        <v>4106</v>
      </c>
      <c r="C489" s="1" t="s">
        <v>4107</v>
      </c>
      <c r="D489" s="1" t="s">
        <v>4108</v>
      </c>
      <c r="E489" s="1" t="s">
        <v>4109</v>
      </c>
      <c r="F489" s="1" t="s">
        <v>4105</v>
      </c>
      <c r="G489" s="1" t="s">
        <v>1949</v>
      </c>
      <c r="H489" s="1" t="s">
        <v>2545</v>
      </c>
      <c r="I489" s="3" t="s">
        <v>1951</v>
      </c>
    </row>
    <row r="490" ht="15.75" customHeight="1">
      <c r="A490" s="1" t="s">
        <v>981</v>
      </c>
      <c r="B490" s="1" t="s">
        <v>4110</v>
      </c>
      <c r="C490" s="1" t="s">
        <v>4111</v>
      </c>
      <c r="D490" s="1" t="s">
        <v>4112</v>
      </c>
      <c r="E490" s="1" t="s">
        <v>4113</v>
      </c>
      <c r="F490" s="1" t="s">
        <v>4114</v>
      </c>
      <c r="G490" s="1" t="s">
        <v>1949</v>
      </c>
      <c r="H490" s="1" t="s">
        <v>2855</v>
      </c>
      <c r="I490" s="3" t="s">
        <v>1942</v>
      </c>
    </row>
    <row r="491" ht="15.75" customHeight="1">
      <c r="A491" s="1" t="s">
        <v>983</v>
      </c>
      <c r="B491" s="1" t="s">
        <v>4115</v>
      </c>
      <c r="C491" s="1" t="s">
        <v>4116</v>
      </c>
      <c r="D491" s="1" t="s">
        <v>4117</v>
      </c>
      <c r="E491" s="1" t="s">
        <v>4118</v>
      </c>
      <c r="F491" s="1" t="s">
        <v>2448</v>
      </c>
      <c r="G491" s="1" t="s">
        <v>1941</v>
      </c>
      <c r="H491" s="1">
        <v>79945.0</v>
      </c>
      <c r="I491" s="3" t="s">
        <v>1951</v>
      </c>
    </row>
    <row r="492" ht="15.75" customHeight="1">
      <c r="A492" s="1" t="s">
        <v>985</v>
      </c>
      <c r="B492" s="1" t="s">
        <v>4119</v>
      </c>
      <c r="C492" s="1" t="s">
        <v>4120</v>
      </c>
      <c r="D492" s="1" t="s">
        <v>4121</v>
      </c>
      <c r="E492" s="1" t="s">
        <v>4122</v>
      </c>
      <c r="F492" s="1" t="s">
        <v>2191</v>
      </c>
      <c r="G492" s="1" t="s">
        <v>1941</v>
      </c>
      <c r="H492" s="1">
        <v>33355.0</v>
      </c>
      <c r="I492" s="3" t="s">
        <v>1951</v>
      </c>
    </row>
    <row r="493" ht="15.75" customHeight="1">
      <c r="A493" s="1" t="s">
        <v>987</v>
      </c>
      <c r="B493" s="1" t="s">
        <v>4123</v>
      </c>
      <c r="C493" s="1"/>
      <c r="D493" s="1" t="s">
        <v>4124</v>
      </c>
      <c r="E493" s="1" t="s">
        <v>4125</v>
      </c>
      <c r="F493" s="1" t="s">
        <v>3483</v>
      </c>
      <c r="G493" s="1" t="s">
        <v>1941</v>
      </c>
      <c r="H493" s="1">
        <v>46295.0</v>
      </c>
      <c r="I493" s="3" t="s">
        <v>1951</v>
      </c>
    </row>
    <row r="494" ht="15.75" customHeight="1">
      <c r="A494" s="1" t="s">
        <v>989</v>
      </c>
      <c r="B494" s="1" t="s">
        <v>4126</v>
      </c>
      <c r="C494" s="1" t="s">
        <v>4127</v>
      </c>
      <c r="D494" s="1" t="s">
        <v>4128</v>
      </c>
      <c r="E494" s="1" t="s">
        <v>4129</v>
      </c>
      <c r="F494" s="1" t="s">
        <v>3121</v>
      </c>
      <c r="G494" s="1" t="s">
        <v>1941</v>
      </c>
      <c r="H494" s="1">
        <v>53234.0</v>
      </c>
      <c r="I494" s="3" t="s">
        <v>1942</v>
      </c>
    </row>
    <row r="495" ht="15.75" customHeight="1">
      <c r="A495" s="1" t="s">
        <v>991</v>
      </c>
      <c r="B495" s="1" t="s">
        <v>4130</v>
      </c>
      <c r="C495" s="1" t="s">
        <v>4131</v>
      </c>
      <c r="D495" s="1" t="s">
        <v>4132</v>
      </c>
      <c r="E495" s="1" t="s">
        <v>4133</v>
      </c>
      <c r="F495" s="1" t="s">
        <v>3330</v>
      </c>
      <c r="G495" s="1" t="s">
        <v>2116</v>
      </c>
      <c r="H495" s="1" t="s">
        <v>3331</v>
      </c>
      <c r="I495" s="3" t="s">
        <v>1951</v>
      </c>
    </row>
    <row r="496" ht="15.75" customHeight="1">
      <c r="A496" s="1" t="s">
        <v>993</v>
      </c>
      <c r="B496" s="1" t="s">
        <v>4134</v>
      </c>
      <c r="C496" s="1" t="s">
        <v>4135</v>
      </c>
      <c r="D496" s="1" t="s">
        <v>4136</v>
      </c>
      <c r="E496" s="1" t="s">
        <v>4137</v>
      </c>
      <c r="F496" s="1" t="s">
        <v>3070</v>
      </c>
      <c r="G496" s="1" t="s">
        <v>1941</v>
      </c>
      <c r="H496" s="1">
        <v>70836.0</v>
      </c>
      <c r="I496" s="3" t="s">
        <v>1951</v>
      </c>
    </row>
    <row r="497" ht="15.75" customHeight="1">
      <c r="A497" s="1" t="s">
        <v>995</v>
      </c>
      <c r="B497" s="1" t="s">
        <v>4138</v>
      </c>
      <c r="C497" s="1"/>
      <c r="D497" s="1" t="s">
        <v>4139</v>
      </c>
      <c r="E497" s="1" t="s">
        <v>4140</v>
      </c>
      <c r="F497" s="1" t="s">
        <v>3283</v>
      </c>
      <c r="G497" s="1" t="s">
        <v>1941</v>
      </c>
      <c r="H497" s="1">
        <v>6816.0</v>
      </c>
      <c r="I497" s="3" t="s">
        <v>1942</v>
      </c>
    </row>
    <row r="498" ht="15.75" customHeight="1">
      <c r="A498" s="1" t="s">
        <v>997</v>
      </c>
      <c r="B498" s="1" t="s">
        <v>4141</v>
      </c>
      <c r="C498" s="1" t="s">
        <v>4142</v>
      </c>
      <c r="D498" s="1" t="s">
        <v>4143</v>
      </c>
      <c r="E498" s="1" t="s">
        <v>4144</v>
      </c>
      <c r="F498" s="1" t="s">
        <v>2225</v>
      </c>
      <c r="G498" s="1" t="s">
        <v>1941</v>
      </c>
      <c r="H498" s="1">
        <v>32590.0</v>
      </c>
      <c r="I498" s="3" t="s">
        <v>1951</v>
      </c>
    </row>
    <row r="499" ht="15.75" customHeight="1">
      <c r="A499" s="1" t="s">
        <v>999</v>
      </c>
      <c r="B499" s="1" t="s">
        <v>4145</v>
      </c>
      <c r="C499" s="1" t="s">
        <v>4146</v>
      </c>
      <c r="D499" s="1" t="s">
        <v>4147</v>
      </c>
      <c r="E499" s="1" t="s">
        <v>4148</v>
      </c>
      <c r="F499" s="1" t="s">
        <v>4149</v>
      </c>
      <c r="G499" s="1" t="s">
        <v>1949</v>
      </c>
      <c r="H499" s="1" t="s">
        <v>2083</v>
      </c>
      <c r="I499" s="3" t="s">
        <v>1951</v>
      </c>
    </row>
    <row r="500" ht="15.75" customHeight="1">
      <c r="A500" s="1" t="s">
        <v>4150</v>
      </c>
      <c r="B500" s="1" t="s">
        <v>4151</v>
      </c>
      <c r="C500" s="1" t="s">
        <v>4152</v>
      </c>
      <c r="D500" s="1" t="s">
        <v>4153</v>
      </c>
      <c r="E500" s="1" t="s">
        <v>4154</v>
      </c>
      <c r="F500" s="1" t="s">
        <v>3238</v>
      </c>
      <c r="G500" s="1" t="s">
        <v>2116</v>
      </c>
      <c r="H500" s="1" t="s">
        <v>3239</v>
      </c>
      <c r="I500" s="3" t="s">
        <v>1942</v>
      </c>
    </row>
    <row r="501" ht="15.75" customHeight="1">
      <c r="A501" s="1" t="s">
        <v>1003</v>
      </c>
      <c r="B501" s="1" t="s">
        <v>4155</v>
      </c>
      <c r="C501" s="1"/>
      <c r="D501" s="1" t="s">
        <v>4156</v>
      </c>
      <c r="E501" s="1" t="s">
        <v>4157</v>
      </c>
      <c r="F501" s="1" t="s">
        <v>2933</v>
      </c>
      <c r="G501" s="1" t="s">
        <v>1949</v>
      </c>
      <c r="H501" s="1" t="s">
        <v>2083</v>
      </c>
      <c r="I501" s="3" t="s">
        <v>1942</v>
      </c>
    </row>
    <row r="502" ht="15.75" customHeight="1">
      <c r="A502" s="1" t="s">
        <v>1005</v>
      </c>
      <c r="B502" s="1" t="s">
        <v>4158</v>
      </c>
      <c r="C502" s="1"/>
      <c r="D502" s="1" t="s">
        <v>4159</v>
      </c>
      <c r="E502" s="1" t="s">
        <v>4160</v>
      </c>
      <c r="F502" s="1" t="s">
        <v>2048</v>
      </c>
      <c r="G502" s="1" t="s">
        <v>1941</v>
      </c>
      <c r="H502" s="1">
        <v>49518.0</v>
      </c>
      <c r="I502" s="3" t="s">
        <v>1951</v>
      </c>
    </row>
    <row r="503" ht="15.75" customHeight="1">
      <c r="A503" s="1" t="s">
        <v>1007</v>
      </c>
      <c r="B503" s="1" t="s">
        <v>4161</v>
      </c>
      <c r="C503" s="1" t="s">
        <v>4162</v>
      </c>
      <c r="D503" s="1" t="s">
        <v>4163</v>
      </c>
      <c r="E503" s="1" t="s">
        <v>4164</v>
      </c>
      <c r="F503" s="1" t="s">
        <v>3365</v>
      </c>
      <c r="G503" s="1" t="s">
        <v>2116</v>
      </c>
      <c r="H503" s="1" t="s">
        <v>3366</v>
      </c>
      <c r="I503" s="3" t="s">
        <v>1951</v>
      </c>
    </row>
    <row r="504" ht="15.75" customHeight="1">
      <c r="A504" s="1" t="s">
        <v>4165</v>
      </c>
      <c r="B504" s="1" t="s">
        <v>4166</v>
      </c>
      <c r="C504" s="1" t="s">
        <v>4167</v>
      </c>
      <c r="D504" s="1" t="s">
        <v>4168</v>
      </c>
      <c r="E504" s="1" t="s">
        <v>4169</v>
      </c>
      <c r="F504" s="1" t="s">
        <v>2375</v>
      </c>
      <c r="G504" s="1" t="s">
        <v>1941</v>
      </c>
      <c r="H504" s="1">
        <v>66160.0</v>
      </c>
      <c r="I504" s="3" t="s">
        <v>1951</v>
      </c>
    </row>
    <row r="505" ht="15.75" customHeight="1">
      <c r="A505" s="1" t="s">
        <v>4170</v>
      </c>
      <c r="B505" s="1" t="s">
        <v>4171</v>
      </c>
      <c r="C505" s="1"/>
      <c r="D505" s="1" t="s">
        <v>4172</v>
      </c>
      <c r="E505" s="1" t="s">
        <v>4173</v>
      </c>
      <c r="F505" s="1" t="s">
        <v>4174</v>
      </c>
      <c r="G505" s="1" t="s">
        <v>1941</v>
      </c>
      <c r="H505" s="1">
        <v>14905.0</v>
      </c>
      <c r="I505" s="3" t="s">
        <v>1951</v>
      </c>
    </row>
    <row r="506" ht="15.75" customHeight="1">
      <c r="A506" s="1" t="s">
        <v>4175</v>
      </c>
      <c r="B506" s="1" t="s">
        <v>4176</v>
      </c>
      <c r="C506" s="1" t="s">
        <v>4177</v>
      </c>
      <c r="D506" s="1" t="s">
        <v>4178</v>
      </c>
      <c r="E506" s="1" t="s">
        <v>4179</v>
      </c>
      <c r="F506" s="1" t="s">
        <v>3121</v>
      </c>
      <c r="G506" s="1" t="s">
        <v>1941</v>
      </c>
      <c r="H506" s="1">
        <v>53205.0</v>
      </c>
      <c r="I506" s="3" t="s">
        <v>1942</v>
      </c>
    </row>
    <row r="507" ht="15.75" customHeight="1">
      <c r="A507" s="1" t="s">
        <v>1009</v>
      </c>
      <c r="B507" s="1" t="s">
        <v>4180</v>
      </c>
      <c r="C507" s="1" t="s">
        <v>4181</v>
      </c>
      <c r="D507" s="1" t="s">
        <v>4182</v>
      </c>
      <c r="E507" s="1" t="s">
        <v>4183</v>
      </c>
      <c r="F507" s="1" t="s">
        <v>4184</v>
      </c>
      <c r="G507" s="1" t="s">
        <v>1941</v>
      </c>
      <c r="H507" s="1">
        <v>27264.0</v>
      </c>
      <c r="I507" s="3" t="s">
        <v>1951</v>
      </c>
    </row>
    <row r="508" ht="15.75" customHeight="1">
      <c r="A508" s="1" t="s">
        <v>1011</v>
      </c>
      <c r="B508" s="1" t="s">
        <v>4185</v>
      </c>
      <c r="C508" s="1" t="s">
        <v>4186</v>
      </c>
      <c r="D508" s="1" t="s">
        <v>4187</v>
      </c>
      <c r="E508" s="1" t="s">
        <v>4188</v>
      </c>
      <c r="F508" s="1" t="s">
        <v>2448</v>
      </c>
      <c r="G508" s="1" t="s">
        <v>1941</v>
      </c>
      <c r="H508" s="1">
        <v>88546.0</v>
      </c>
      <c r="I508" s="3" t="s">
        <v>1942</v>
      </c>
    </row>
    <row r="509" ht="15.75" customHeight="1">
      <c r="A509" s="1" t="s">
        <v>1013</v>
      </c>
      <c r="B509" s="1" t="s">
        <v>4189</v>
      </c>
      <c r="C509" s="1" t="s">
        <v>4190</v>
      </c>
      <c r="D509" s="1" t="s">
        <v>4191</v>
      </c>
      <c r="E509" s="1" t="s">
        <v>4192</v>
      </c>
      <c r="F509" s="1" t="s">
        <v>4193</v>
      </c>
      <c r="G509" s="1" t="s">
        <v>1941</v>
      </c>
      <c r="H509" s="1">
        <v>44185.0</v>
      </c>
      <c r="I509" s="3" t="s">
        <v>1942</v>
      </c>
    </row>
    <row r="510" ht="15.75" customHeight="1">
      <c r="A510" s="1" t="s">
        <v>1015</v>
      </c>
      <c r="B510" s="1" t="s">
        <v>4194</v>
      </c>
      <c r="C510" s="1" t="s">
        <v>4195</v>
      </c>
      <c r="D510" s="1" t="s">
        <v>4196</v>
      </c>
      <c r="E510" s="1" t="s">
        <v>4197</v>
      </c>
      <c r="F510" s="1" t="s">
        <v>4198</v>
      </c>
      <c r="G510" s="1" t="s">
        <v>1949</v>
      </c>
      <c r="H510" s="1" t="s">
        <v>4199</v>
      </c>
      <c r="I510" s="3" t="s">
        <v>1951</v>
      </c>
    </row>
    <row r="511" ht="15.75" customHeight="1">
      <c r="A511" s="1" t="s">
        <v>1001</v>
      </c>
      <c r="B511" s="1" t="s">
        <v>4200</v>
      </c>
      <c r="C511" s="1" t="s">
        <v>4201</v>
      </c>
      <c r="D511" s="1" t="s">
        <v>4202</v>
      </c>
      <c r="E511" s="1" t="s">
        <v>4203</v>
      </c>
      <c r="F511" s="1" t="s">
        <v>4204</v>
      </c>
      <c r="G511" s="1" t="s">
        <v>1949</v>
      </c>
      <c r="H511" s="1" t="s">
        <v>4205</v>
      </c>
      <c r="I511" s="3" t="s">
        <v>1942</v>
      </c>
    </row>
    <row r="512" ht="15.75" customHeight="1">
      <c r="A512" s="1" t="s">
        <v>1018</v>
      </c>
      <c r="B512" s="1" t="s">
        <v>4206</v>
      </c>
      <c r="C512" s="1" t="s">
        <v>4207</v>
      </c>
      <c r="D512" s="1" t="s">
        <v>4208</v>
      </c>
      <c r="E512" s="1" t="s">
        <v>4209</v>
      </c>
      <c r="F512" s="1" t="s">
        <v>3749</v>
      </c>
      <c r="G512" s="1" t="s">
        <v>1949</v>
      </c>
      <c r="H512" s="1" t="s">
        <v>3750</v>
      </c>
      <c r="I512" s="3" t="s">
        <v>1942</v>
      </c>
    </row>
    <row r="513" ht="15.75" customHeight="1">
      <c r="A513" s="1" t="s">
        <v>1020</v>
      </c>
      <c r="B513" s="1" t="s">
        <v>4210</v>
      </c>
      <c r="C513" s="1" t="s">
        <v>4211</v>
      </c>
      <c r="D513" s="1" t="s">
        <v>4212</v>
      </c>
      <c r="E513" s="1" t="s">
        <v>4213</v>
      </c>
      <c r="F513" s="1" t="s">
        <v>2172</v>
      </c>
      <c r="G513" s="1" t="s">
        <v>1941</v>
      </c>
      <c r="H513" s="1">
        <v>35244.0</v>
      </c>
      <c r="I513" s="3" t="s">
        <v>1942</v>
      </c>
    </row>
    <row r="514" ht="15.75" customHeight="1">
      <c r="A514" s="1" t="s">
        <v>1022</v>
      </c>
      <c r="B514" s="1" t="s">
        <v>4214</v>
      </c>
      <c r="C514" s="1" t="s">
        <v>4215</v>
      </c>
      <c r="D514" s="1" t="s">
        <v>4216</v>
      </c>
      <c r="E514" s="1" t="s">
        <v>4217</v>
      </c>
      <c r="F514" s="1" t="s">
        <v>4218</v>
      </c>
      <c r="G514" s="1" t="s">
        <v>1941</v>
      </c>
      <c r="H514" s="1">
        <v>56372.0</v>
      </c>
      <c r="I514" s="3" t="s">
        <v>1951</v>
      </c>
    </row>
    <row r="515" ht="15.75" customHeight="1">
      <c r="A515" s="1" t="s">
        <v>1024</v>
      </c>
      <c r="B515" s="1" t="s">
        <v>4219</v>
      </c>
      <c r="C515" s="1" t="s">
        <v>4220</v>
      </c>
      <c r="D515" s="1"/>
      <c r="E515" s="1" t="s">
        <v>4221</v>
      </c>
      <c r="F515" s="1" t="s">
        <v>2017</v>
      </c>
      <c r="G515" s="1" t="s">
        <v>1941</v>
      </c>
      <c r="H515" s="1">
        <v>19191.0</v>
      </c>
      <c r="I515" s="3" t="s">
        <v>1951</v>
      </c>
    </row>
    <row r="516" ht="15.75" customHeight="1">
      <c r="A516" s="1" t="s">
        <v>1026</v>
      </c>
      <c r="B516" s="1" t="s">
        <v>4222</v>
      </c>
      <c r="C516" s="1" t="s">
        <v>4223</v>
      </c>
      <c r="D516" s="1" t="s">
        <v>4224</v>
      </c>
      <c r="E516" s="1" t="s">
        <v>4225</v>
      </c>
      <c r="F516" s="1" t="s">
        <v>2821</v>
      </c>
      <c r="G516" s="1" t="s">
        <v>1941</v>
      </c>
      <c r="H516" s="1">
        <v>48211.0</v>
      </c>
      <c r="I516" s="3" t="s">
        <v>1942</v>
      </c>
    </row>
    <row r="517" ht="15.75" customHeight="1">
      <c r="A517" s="1" t="s">
        <v>1028</v>
      </c>
      <c r="B517" s="1" t="s">
        <v>4226</v>
      </c>
      <c r="C517" s="1" t="s">
        <v>4227</v>
      </c>
      <c r="D517" s="1" t="s">
        <v>4228</v>
      </c>
      <c r="E517" s="1" t="s">
        <v>4229</v>
      </c>
      <c r="F517" s="1" t="s">
        <v>2013</v>
      </c>
      <c r="G517" s="1" t="s">
        <v>1941</v>
      </c>
      <c r="H517" s="1">
        <v>63180.0</v>
      </c>
      <c r="I517" s="3" t="s">
        <v>1951</v>
      </c>
    </row>
    <row r="518" ht="15.75" customHeight="1">
      <c r="A518" s="1" t="s">
        <v>1030</v>
      </c>
      <c r="B518" s="1" t="s">
        <v>4230</v>
      </c>
      <c r="C518" s="1"/>
      <c r="D518" s="1" t="s">
        <v>4231</v>
      </c>
      <c r="E518" s="1" t="s">
        <v>4232</v>
      </c>
      <c r="F518" s="1" t="s">
        <v>4233</v>
      </c>
      <c r="G518" s="1" t="s">
        <v>1941</v>
      </c>
      <c r="H518" s="1">
        <v>12305.0</v>
      </c>
      <c r="I518" s="3" t="s">
        <v>1942</v>
      </c>
    </row>
    <row r="519" ht="15.75" customHeight="1">
      <c r="A519" s="1" t="s">
        <v>1032</v>
      </c>
      <c r="B519" s="1" t="s">
        <v>4234</v>
      </c>
      <c r="C519" s="1"/>
      <c r="D519" s="1" t="s">
        <v>4235</v>
      </c>
      <c r="E519" s="1" t="s">
        <v>4236</v>
      </c>
      <c r="F519" s="1" t="s">
        <v>4237</v>
      </c>
      <c r="G519" s="1" t="s">
        <v>1941</v>
      </c>
      <c r="H519" s="1">
        <v>33805.0</v>
      </c>
      <c r="I519" s="3" t="s">
        <v>1951</v>
      </c>
    </row>
    <row r="520" ht="15.75" customHeight="1">
      <c r="A520" s="1" t="s">
        <v>1034</v>
      </c>
      <c r="B520" s="1" t="s">
        <v>4238</v>
      </c>
      <c r="C520" s="1" t="s">
        <v>4239</v>
      </c>
      <c r="D520" s="1" t="s">
        <v>4240</v>
      </c>
      <c r="E520" s="1" t="s">
        <v>4241</v>
      </c>
      <c r="F520" s="1" t="s">
        <v>4242</v>
      </c>
      <c r="G520" s="1" t="s">
        <v>1941</v>
      </c>
      <c r="H520" s="1">
        <v>32941.0</v>
      </c>
      <c r="I520" s="3" t="s">
        <v>1951</v>
      </c>
    </row>
    <row r="521" ht="15.75" customHeight="1">
      <c r="A521" s="1" t="s">
        <v>4243</v>
      </c>
      <c r="B521" s="1" t="s">
        <v>4244</v>
      </c>
      <c r="C521" s="1" t="s">
        <v>4245</v>
      </c>
      <c r="D521" s="1" t="s">
        <v>4246</v>
      </c>
      <c r="E521" s="1" t="s">
        <v>4247</v>
      </c>
      <c r="F521" s="1" t="s">
        <v>2027</v>
      </c>
      <c r="G521" s="1" t="s">
        <v>1941</v>
      </c>
      <c r="H521" s="1">
        <v>77075.0</v>
      </c>
      <c r="I521" s="3" t="s">
        <v>1951</v>
      </c>
    </row>
    <row r="522" ht="15.75" customHeight="1">
      <c r="A522" s="1" t="s">
        <v>1037</v>
      </c>
      <c r="B522" s="1" t="s">
        <v>4248</v>
      </c>
      <c r="C522" s="1" t="s">
        <v>4249</v>
      </c>
      <c r="D522" s="1" t="s">
        <v>4250</v>
      </c>
      <c r="E522" s="1" t="s">
        <v>4251</v>
      </c>
      <c r="F522" s="1" t="s">
        <v>2144</v>
      </c>
      <c r="G522" s="1" t="s">
        <v>1941</v>
      </c>
      <c r="H522" s="1">
        <v>70179.0</v>
      </c>
      <c r="I522" s="3" t="s">
        <v>1951</v>
      </c>
    </row>
    <row r="523" ht="15.75" customHeight="1">
      <c r="A523" s="1" t="s">
        <v>4252</v>
      </c>
      <c r="B523" s="1" t="s">
        <v>4253</v>
      </c>
      <c r="C523" s="1" t="s">
        <v>4254</v>
      </c>
      <c r="D523" s="1" t="s">
        <v>4255</v>
      </c>
      <c r="E523" s="1" t="s">
        <v>4256</v>
      </c>
      <c r="F523" s="1" t="s">
        <v>2362</v>
      </c>
      <c r="G523" s="1" t="s">
        <v>1941</v>
      </c>
      <c r="H523" s="1">
        <v>73142.0</v>
      </c>
      <c r="I523" s="3" t="s">
        <v>1951</v>
      </c>
    </row>
    <row r="524" ht="15.75" customHeight="1">
      <c r="A524" s="1" t="s">
        <v>1039</v>
      </c>
      <c r="B524" s="1" t="s">
        <v>4257</v>
      </c>
      <c r="C524" s="1" t="s">
        <v>4258</v>
      </c>
      <c r="D524" s="1" t="s">
        <v>4259</v>
      </c>
      <c r="E524" s="1" t="s">
        <v>4260</v>
      </c>
      <c r="F524" s="1" t="s">
        <v>3510</v>
      </c>
      <c r="G524" s="1" t="s">
        <v>1941</v>
      </c>
      <c r="H524" s="1">
        <v>66617.0</v>
      </c>
      <c r="I524" s="3" t="s">
        <v>1951</v>
      </c>
    </row>
    <row r="525" ht="15.75" customHeight="1">
      <c r="A525" s="1" t="s">
        <v>1041</v>
      </c>
      <c r="B525" s="1" t="s">
        <v>4261</v>
      </c>
      <c r="C525" s="1" t="s">
        <v>4262</v>
      </c>
      <c r="D525" s="1" t="s">
        <v>4263</v>
      </c>
      <c r="E525" s="1" t="s">
        <v>4264</v>
      </c>
      <c r="F525" s="1" t="s">
        <v>4265</v>
      </c>
      <c r="G525" s="1" t="s">
        <v>1949</v>
      </c>
      <c r="H525" s="1" t="s">
        <v>3618</v>
      </c>
      <c r="I525" s="3" t="s">
        <v>1951</v>
      </c>
    </row>
    <row r="526" ht="15.75" customHeight="1">
      <c r="A526" s="1" t="s">
        <v>1043</v>
      </c>
      <c r="B526" s="1" t="s">
        <v>4266</v>
      </c>
      <c r="C526" s="1"/>
      <c r="D526" s="1" t="s">
        <v>4267</v>
      </c>
      <c r="E526" s="1" t="s">
        <v>4268</v>
      </c>
      <c r="F526" s="1" t="s">
        <v>1962</v>
      </c>
      <c r="G526" s="1" t="s">
        <v>1941</v>
      </c>
      <c r="H526" s="1">
        <v>62723.0</v>
      </c>
      <c r="I526" s="3" t="s">
        <v>1951</v>
      </c>
    </row>
    <row r="527" ht="15.75" customHeight="1">
      <c r="A527" s="1" t="s">
        <v>1045</v>
      </c>
      <c r="B527" s="1" t="s">
        <v>4269</v>
      </c>
      <c r="C527" s="1"/>
      <c r="D527" s="1" t="s">
        <v>4270</v>
      </c>
      <c r="E527" s="1" t="s">
        <v>4271</v>
      </c>
      <c r="F527" s="1" t="s">
        <v>4272</v>
      </c>
      <c r="G527" s="1" t="s">
        <v>1941</v>
      </c>
      <c r="H527" s="1">
        <v>8104.0</v>
      </c>
      <c r="I527" s="3" t="s">
        <v>1942</v>
      </c>
    </row>
    <row r="528" ht="15.75" customHeight="1">
      <c r="A528" s="1" t="s">
        <v>1047</v>
      </c>
      <c r="B528" s="1" t="s">
        <v>4273</v>
      </c>
      <c r="C528" s="1" t="s">
        <v>4274</v>
      </c>
      <c r="D528" s="1" t="s">
        <v>4275</v>
      </c>
      <c r="E528" s="1" t="s">
        <v>4276</v>
      </c>
      <c r="F528" s="1" t="s">
        <v>3492</v>
      </c>
      <c r="G528" s="1" t="s">
        <v>1941</v>
      </c>
      <c r="H528" s="1">
        <v>98185.0</v>
      </c>
      <c r="I528" s="3" t="s">
        <v>1942</v>
      </c>
    </row>
    <row r="529" ht="15.75" customHeight="1">
      <c r="A529" s="1" t="s">
        <v>1049</v>
      </c>
      <c r="B529" s="1" t="s">
        <v>4277</v>
      </c>
      <c r="C529" s="1" t="s">
        <v>4278</v>
      </c>
      <c r="D529" s="1" t="s">
        <v>4279</v>
      </c>
      <c r="E529" s="1" t="s">
        <v>4280</v>
      </c>
      <c r="F529" s="1" t="s">
        <v>2242</v>
      </c>
      <c r="G529" s="1" t="s">
        <v>2116</v>
      </c>
      <c r="H529" s="1" t="s">
        <v>2243</v>
      </c>
      <c r="I529" s="3" t="s">
        <v>1951</v>
      </c>
    </row>
    <row r="530" ht="15.75" customHeight="1">
      <c r="A530" s="1" t="s">
        <v>1051</v>
      </c>
      <c r="B530" s="1" t="s">
        <v>4281</v>
      </c>
      <c r="C530" s="1" t="s">
        <v>4282</v>
      </c>
      <c r="D530" s="1" t="s">
        <v>4283</v>
      </c>
      <c r="E530" s="1" t="s">
        <v>4284</v>
      </c>
      <c r="F530" s="1" t="s">
        <v>4285</v>
      </c>
      <c r="G530" s="1" t="s">
        <v>1941</v>
      </c>
      <c r="H530" s="1">
        <v>76711.0</v>
      </c>
      <c r="I530" s="3" t="s">
        <v>1951</v>
      </c>
    </row>
    <row r="531" ht="15.75" customHeight="1">
      <c r="A531" s="1" t="s">
        <v>1053</v>
      </c>
      <c r="B531" s="1" t="s">
        <v>4286</v>
      </c>
      <c r="C531" s="1" t="s">
        <v>4287</v>
      </c>
      <c r="D531" s="1" t="s">
        <v>4288</v>
      </c>
      <c r="E531" s="1" t="s">
        <v>4289</v>
      </c>
      <c r="F531" s="1" t="s">
        <v>2004</v>
      </c>
      <c r="G531" s="1" t="s">
        <v>1941</v>
      </c>
      <c r="H531" s="1">
        <v>23242.0</v>
      </c>
      <c r="I531" s="3" t="s">
        <v>1951</v>
      </c>
    </row>
    <row r="532" ht="15.75" customHeight="1">
      <c r="A532" s="1" t="s">
        <v>1055</v>
      </c>
      <c r="B532" s="1" t="s">
        <v>4290</v>
      </c>
      <c r="C532" s="1" t="s">
        <v>4291</v>
      </c>
      <c r="D532" s="1" t="s">
        <v>4292</v>
      </c>
      <c r="E532" s="1" t="s">
        <v>4293</v>
      </c>
      <c r="F532" s="1" t="s">
        <v>2211</v>
      </c>
      <c r="G532" s="1" t="s">
        <v>1941</v>
      </c>
      <c r="H532" s="1">
        <v>43610.0</v>
      </c>
      <c r="I532" s="3" t="s">
        <v>1951</v>
      </c>
    </row>
    <row r="533" ht="15.75" customHeight="1">
      <c r="A533" s="1" t="s">
        <v>1057</v>
      </c>
      <c r="B533" s="1" t="s">
        <v>4294</v>
      </c>
      <c r="C533" s="1" t="s">
        <v>4295</v>
      </c>
      <c r="D533" s="1" t="s">
        <v>4296</v>
      </c>
      <c r="E533" s="1" t="s">
        <v>4297</v>
      </c>
      <c r="F533" s="1" t="s">
        <v>2481</v>
      </c>
      <c r="G533" s="1" t="s">
        <v>1941</v>
      </c>
      <c r="H533" s="1">
        <v>25705.0</v>
      </c>
      <c r="I533" s="3" t="s">
        <v>1951</v>
      </c>
    </row>
    <row r="534" ht="15.75" customHeight="1">
      <c r="A534" s="1" t="s">
        <v>1059</v>
      </c>
      <c r="B534" s="1" t="s">
        <v>4298</v>
      </c>
      <c r="C534" s="1" t="s">
        <v>4299</v>
      </c>
      <c r="D534" s="1" t="s">
        <v>4300</v>
      </c>
      <c r="E534" s="1" t="s">
        <v>4301</v>
      </c>
      <c r="F534" s="1" t="s">
        <v>4302</v>
      </c>
      <c r="G534" s="1" t="s">
        <v>1941</v>
      </c>
      <c r="H534" s="1">
        <v>33884.0</v>
      </c>
      <c r="I534" s="3" t="s">
        <v>1942</v>
      </c>
    </row>
    <row r="535" ht="15.75" customHeight="1">
      <c r="A535" s="1" t="s">
        <v>1061</v>
      </c>
      <c r="B535" s="1" t="s">
        <v>4303</v>
      </c>
      <c r="C535" s="1"/>
      <c r="D535" s="1" t="s">
        <v>4304</v>
      </c>
      <c r="E535" s="1" t="s">
        <v>4305</v>
      </c>
      <c r="F535" s="1" t="s">
        <v>2325</v>
      </c>
      <c r="G535" s="1" t="s">
        <v>1941</v>
      </c>
      <c r="H535" s="1">
        <v>75323.0</v>
      </c>
      <c r="I535" s="3" t="s">
        <v>1951</v>
      </c>
    </row>
    <row r="536" ht="15.75" customHeight="1">
      <c r="A536" s="1" t="s">
        <v>1063</v>
      </c>
      <c r="B536" s="1" t="s">
        <v>4306</v>
      </c>
      <c r="C536" s="1" t="s">
        <v>4307</v>
      </c>
      <c r="D536" s="1" t="s">
        <v>4308</v>
      </c>
      <c r="E536" s="1" t="s">
        <v>4309</v>
      </c>
      <c r="F536" s="1" t="s">
        <v>2345</v>
      </c>
      <c r="G536" s="1" t="s">
        <v>1949</v>
      </c>
      <c r="H536" s="1" t="s">
        <v>2346</v>
      </c>
      <c r="I536" s="3" t="s">
        <v>1942</v>
      </c>
    </row>
    <row r="537" ht="15.75" customHeight="1">
      <c r="A537" s="1" t="s">
        <v>1065</v>
      </c>
      <c r="B537" s="1" t="s">
        <v>4310</v>
      </c>
      <c r="C537" s="1"/>
      <c r="D537" s="1" t="s">
        <v>4311</v>
      </c>
      <c r="E537" s="1" t="s">
        <v>4312</v>
      </c>
      <c r="F537" s="1" t="s">
        <v>2600</v>
      </c>
      <c r="G537" s="1" t="s">
        <v>1949</v>
      </c>
      <c r="H537" s="1" t="s">
        <v>2545</v>
      </c>
      <c r="I537" s="3" t="s">
        <v>1951</v>
      </c>
    </row>
    <row r="538" ht="15.75" customHeight="1">
      <c r="A538" s="1" t="s">
        <v>4313</v>
      </c>
      <c r="B538" s="1" t="s">
        <v>4314</v>
      </c>
      <c r="C538" s="1" t="s">
        <v>4315</v>
      </c>
      <c r="D538" s="1" t="s">
        <v>4316</v>
      </c>
      <c r="E538" s="1" t="s">
        <v>4317</v>
      </c>
      <c r="F538" s="1" t="s">
        <v>2287</v>
      </c>
      <c r="G538" s="1" t="s">
        <v>1941</v>
      </c>
      <c r="H538" s="1">
        <v>43231.0</v>
      </c>
      <c r="I538" s="3" t="s">
        <v>1951</v>
      </c>
    </row>
    <row r="539" ht="15.75" customHeight="1">
      <c r="A539" s="1" t="s">
        <v>1068</v>
      </c>
      <c r="B539" s="1" t="s">
        <v>4318</v>
      </c>
      <c r="C539" s="1" t="s">
        <v>4319</v>
      </c>
      <c r="D539" s="1"/>
      <c r="E539" s="1" t="s">
        <v>4320</v>
      </c>
      <c r="F539" s="1" t="s">
        <v>2555</v>
      </c>
      <c r="G539" s="1" t="s">
        <v>1941</v>
      </c>
      <c r="H539" s="1">
        <v>47747.0</v>
      </c>
      <c r="I539" s="3" t="s">
        <v>1942</v>
      </c>
    </row>
    <row r="540" ht="15.75" customHeight="1">
      <c r="A540" s="1" t="s">
        <v>1070</v>
      </c>
      <c r="B540" s="1" t="s">
        <v>4321</v>
      </c>
      <c r="C540" s="1" t="s">
        <v>4322</v>
      </c>
      <c r="D540" s="1"/>
      <c r="E540" s="1" t="s">
        <v>4323</v>
      </c>
      <c r="F540" s="1" t="s">
        <v>4324</v>
      </c>
      <c r="G540" s="1" t="s">
        <v>1941</v>
      </c>
      <c r="H540" s="1">
        <v>60567.0</v>
      </c>
      <c r="I540" s="3" t="s">
        <v>1942</v>
      </c>
    </row>
    <row r="541" ht="15.75" customHeight="1">
      <c r="A541" s="1" t="s">
        <v>1072</v>
      </c>
      <c r="B541" s="1" t="s">
        <v>4325</v>
      </c>
      <c r="C541" s="1" t="s">
        <v>4326</v>
      </c>
      <c r="D541" s="1"/>
      <c r="E541" s="1" t="s">
        <v>4327</v>
      </c>
      <c r="F541" s="1" t="s">
        <v>2122</v>
      </c>
      <c r="G541" s="1" t="s">
        <v>1941</v>
      </c>
      <c r="H541" s="1">
        <v>29424.0</v>
      </c>
      <c r="I541" s="3" t="s">
        <v>1951</v>
      </c>
    </row>
    <row r="542" ht="15.75" customHeight="1">
      <c r="A542" s="1" t="s">
        <v>1074</v>
      </c>
      <c r="B542" s="1" t="s">
        <v>4328</v>
      </c>
      <c r="C542" s="1" t="s">
        <v>4329</v>
      </c>
      <c r="D542" s="1" t="s">
        <v>4330</v>
      </c>
      <c r="E542" s="1" t="s">
        <v>4331</v>
      </c>
      <c r="F542" s="1" t="s">
        <v>2800</v>
      </c>
      <c r="G542" s="1" t="s">
        <v>1941</v>
      </c>
      <c r="H542" s="1">
        <v>48930.0</v>
      </c>
      <c r="I542" s="3" t="s">
        <v>1942</v>
      </c>
    </row>
    <row r="543" ht="15.75" customHeight="1">
      <c r="A543" s="1" t="s">
        <v>1076</v>
      </c>
      <c r="B543" s="1" t="s">
        <v>4332</v>
      </c>
      <c r="C543" s="1"/>
      <c r="D543" s="1" t="s">
        <v>4333</v>
      </c>
      <c r="E543" s="1" t="s">
        <v>4334</v>
      </c>
      <c r="F543" s="1" t="s">
        <v>4335</v>
      </c>
      <c r="G543" s="1" t="s">
        <v>1949</v>
      </c>
      <c r="H543" s="1" t="s">
        <v>4199</v>
      </c>
      <c r="I543" s="3" t="s">
        <v>1942</v>
      </c>
    </row>
    <row r="544" ht="15.75" customHeight="1">
      <c r="A544" s="1" t="s">
        <v>1078</v>
      </c>
      <c r="B544" s="1" t="s">
        <v>4336</v>
      </c>
      <c r="C544" s="1" t="s">
        <v>4337</v>
      </c>
      <c r="D544" s="1" t="s">
        <v>4338</v>
      </c>
      <c r="E544" s="1" t="s">
        <v>4339</v>
      </c>
      <c r="F544" s="1" t="s">
        <v>3524</v>
      </c>
      <c r="G544" s="1" t="s">
        <v>1941</v>
      </c>
      <c r="H544" s="1">
        <v>71115.0</v>
      </c>
      <c r="I544" s="3" t="s">
        <v>1951</v>
      </c>
    </row>
    <row r="545" ht="15.75" customHeight="1">
      <c r="A545" s="1" t="s">
        <v>1080</v>
      </c>
      <c r="B545" s="1" t="s">
        <v>4340</v>
      </c>
      <c r="C545" s="1" t="s">
        <v>4341</v>
      </c>
      <c r="D545" s="1" t="s">
        <v>4342</v>
      </c>
      <c r="E545" s="1" t="s">
        <v>4343</v>
      </c>
      <c r="F545" s="1" t="s">
        <v>1995</v>
      </c>
      <c r="G545" s="1" t="s">
        <v>1941</v>
      </c>
      <c r="H545" s="1">
        <v>95194.0</v>
      </c>
      <c r="I545" s="3" t="s">
        <v>1951</v>
      </c>
    </row>
    <row r="546" ht="15.75" customHeight="1">
      <c r="A546" s="1" t="s">
        <v>1082</v>
      </c>
      <c r="B546" s="1" t="s">
        <v>4344</v>
      </c>
      <c r="C546" s="1" t="s">
        <v>4345</v>
      </c>
      <c r="D546" s="1" t="s">
        <v>4346</v>
      </c>
      <c r="E546" s="1" t="s">
        <v>4347</v>
      </c>
      <c r="F546" s="1" t="s">
        <v>2017</v>
      </c>
      <c r="G546" s="1" t="s">
        <v>1941</v>
      </c>
      <c r="H546" s="1">
        <v>19104.0</v>
      </c>
      <c r="I546" s="3" t="s">
        <v>1951</v>
      </c>
    </row>
    <row r="547" ht="15.75" customHeight="1">
      <c r="A547" s="1" t="s">
        <v>1084</v>
      </c>
      <c r="B547" s="1" t="s">
        <v>4348</v>
      </c>
      <c r="C547" s="1" t="s">
        <v>4349</v>
      </c>
      <c r="D547" s="1" t="s">
        <v>4350</v>
      </c>
      <c r="E547" s="1" t="s">
        <v>4351</v>
      </c>
      <c r="F547" s="1" t="s">
        <v>3134</v>
      </c>
      <c r="G547" s="1" t="s">
        <v>2116</v>
      </c>
      <c r="H547" s="1" t="s">
        <v>3135</v>
      </c>
      <c r="I547" s="3" t="s">
        <v>1951</v>
      </c>
    </row>
    <row r="548" ht="15.75" customHeight="1">
      <c r="A548" s="1" t="s">
        <v>1086</v>
      </c>
      <c r="B548" s="1" t="s">
        <v>4352</v>
      </c>
      <c r="C548" s="1"/>
      <c r="D548" s="1" t="s">
        <v>4353</v>
      </c>
      <c r="E548" s="1" t="s">
        <v>4354</v>
      </c>
      <c r="F548" s="1" t="s">
        <v>4355</v>
      </c>
      <c r="G548" s="1" t="s">
        <v>1949</v>
      </c>
      <c r="H548" s="1" t="s">
        <v>4356</v>
      </c>
      <c r="I548" s="3" t="s">
        <v>1951</v>
      </c>
    </row>
    <row r="549" ht="15.75" customHeight="1">
      <c r="A549" s="1" t="s">
        <v>4357</v>
      </c>
      <c r="B549" s="1" t="s">
        <v>4358</v>
      </c>
      <c r="C549" s="1"/>
      <c r="D549" s="1" t="s">
        <v>4359</v>
      </c>
      <c r="E549" s="1" t="s">
        <v>4360</v>
      </c>
      <c r="F549" s="1" t="s">
        <v>3316</v>
      </c>
      <c r="G549" s="1" t="s">
        <v>1941</v>
      </c>
      <c r="H549" s="1">
        <v>21229.0</v>
      </c>
      <c r="I549" s="3" t="s">
        <v>1942</v>
      </c>
    </row>
    <row r="550" ht="15.75" customHeight="1">
      <c r="A550" s="1" t="s">
        <v>1090</v>
      </c>
      <c r="B550" s="1" t="s">
        <v>4361</v>
      </c>
      <c r="C550" s="1" t="s">
        <v>4362</v>
      </c>
      <c r="D550" s="1" t="s">
        <v>4363</v>
      </c>
      <c r="E550" s="1" t="s">
        <v>4364</v>
      </c>
      <c r="F550" s="1" t="s">
        <v>2362</v>
      </c>
      <c r="G550" s="1" t="s">
        <v>1941</v>
      </c>
      <c r="H550" s="1">
        <v>73119.0</v>
      </c>
      <c r="I550" s="3" t="s">
        <v>1942</v>
      </c>
    </row>
    <row r="551" ht="15.75" customHeight="1">
      <c r="A551" s="1" t="s">
        <v>1088</v>
      </c>
      <c r="B551" s="1" t="s">
        <v>4365</v>
      </c>
      <c r="C551" s="1" t="s">
        <v>4366</v>
      </c>
      <c r="D551" s="1" t="s">
        <v>4367</v>
      </c>
      <c r="E551" s="1" t="s">
        <v>4368</v>
      </c>
      <c r="F551" s="1" t="s">
        <v>2037</v>
      </c>
      <c r="G551" s="1" t="s">
        <v>1941</v>
      </c>
      <c r="H551" s="1">
        <v>10060.0</v>
      </c>
      <c r="I551" s="3" t="s">
        <v>1942</v>
      </c>
    </row>
    <row r="552" ht="15.75" customHeight="1">
      <c r="A552" s="1" t="s">
        <v>1093</v>
      </c>
      <c r="B552" s="1" t="s">
        <v>4369</v>
      </c>
      <c r="C552" s="1" t="s">
        <v>4370</v>
      </c>
      <c r="D552" s="1" t="s">
        <v>4371</v>
      </c>
      <c r="E552" s="1" t="s">
        <v>4372</v>
      </c>
      <c r="F552" s="1" t="s">
        <v>2256</v>
      </c>
      <c r="G552" s="1" t="s">
        <v>1941</v>
      </c>
      <c r="H552" s="1">
        <v>7112.0</v>
      </c>
      <c r="I552" s="3" t="s">
        <v>1942</v>
      </c>
    </row>
    <row r="553" ht="15.75" customHeight="1">
      <c r="A553" s="1" t="s">
        <v>1095</v>
      </c>
      <c r="B553" s="1" t="s">
        <v>4373</v>
      </c>
      <c r="C553" s="1" t="s">
        <v>4374</v>
      </c>
      <c r="D553" s="1" t="s">
        <v>4375</v>
      </c>
      <c r="E553" s="1" t="s">
        <v>4376</v>
      </c>
      <c r="F553" s="1" t="s">
        <v>3677</v>
      </c>
      <c r="G553" s="1" t="s">
        <v>1941</v>
      </c>
      <c r="H553" s="1">
        <v>6510.0</v>
      </c>
      <c r="I553" s="3" t="s">
        <v>1951</v>
      </c>
    </row>
    <row r="554" ht="15.75" customHeight="1">
      <c r="A554" s="1" t="s">
        <v>1097</v>
      </c>
      <c r="B554" s="1" t="s">
        <v>4377</v>
      </c>
      <c r="C554" s="1" t="s">
        <v>4378</v>
      </c>
      <c r="D554" s="1" t="s">
        <v>4379</v>
      </c>
      <c r="E554" s="1" t="s">
        <v>4380</v>
      </c>
      <c r="F554" s="1" t="s">
        <v>3365</v>
      </c>
      <c r="G554" s="1" t="s">
        <v>2116</v>
      </c>
      <c r="H554" s="1" t="s">
        <v>3366</v>
      </c>
      <c r="I554" s="3" t="s">
        <v>1942</v>
      </c>
    </row>
    <row r="555" ht="15.75" customHeight="1">
      <c r="A555" s="1" t="s">
        <v>1099</v>
      </c>
      <c r="B555" s="1" t="s">
        <v>4381</v>
      </c>
      <c r="C555" s="1" t="s">
        <v>4382</v>
      </c>
      <c r="D555" s="1"/>
      <c r="E555" s="1" t="s">
        <v>4383</v>
      </c>
      <c r="F555" s="1" t="s">
        <v>2211</v>
      </c>
      <c r="G555" s="1" t="s">
        <v>1941</v>
      </c>
      <c r="H555" s="1">
        <v>43610.0</v>
      </c>
      <c r="I555" s="3" t="s">
        <v>1951</v>
      </c>
    </row>
    <row r="556" ht="15.75" customHeight="1">
      <c r="A556" s="1" t="s">
        <v>1101</v>
      </c>
      <c r="B556" s="1" t="s">
        <v>4384</v>
      </c>
      <c r="C556" s="1"/>
      <c r="D556" s="1" t="s">
        <v>4385</v>
      </c>
      <c r="E556" s="1" t="s">
        <v>4386</v>
      </c>
      <c r="F556" s="1" t="s">
        <v>3164</v>
      </c>
      <c r="G556" s="1" t="s">
        <v>2116</v>
      </c>
      <c r="H556" s="1" t="s">
        <v>4387</v>
      </c>
      <c r="I556" s="3" t="s">
        <v>1942</v>
      </c>
    </row>
    <row r="557" ht="15.75" customHeight="1">
      <c r="A557" s="1" t="s">
        <v>1103</v>
      </c>
      <c r="B557" s="1" t="s">
        <v>4388</v>
      </c>
      <c r="C557" s="1" t="s">
        <v>4389</v>
      </c>
      <c r="D557" s="1" t="s">
        <v>4390</v>
      </c>
      <c r="E557" s="1" t="s">
        <v>4391</v>
      </c>
      <c r="F557" s="1" t="s">
        <v>4392</v>
      </c>
      <c r="G557" s="1" t="s">
        <v>1949</v>
      </c>
      <c r="H557" s="1" t="s">
        <v>4393</v>
      </c>
      <c r="I557" s="3" t="s">
        <v>1951</v>
      </c>
    </row>
    <row r="558" ht="15.75" customHeight="1">
      <c r="A558" s="1" t="s">
        <v>1105</v>
      </c>
      <c r="B558" s="1" t="s">
        <v>4394</v>
      </c>
      <c r="C558" s="1" t="s">
        <v>4395</v>
      </c>
      <c r="D558" s="1"/>
      <c r="E558" s="1" t="s">
        <v>4396</v>
      </c>
      <c r="F558" s="1" t="s">
        <v>3524</v>
      </c>
      <c r="G558" s="1" t="s">
        <v>1941</v>
      </c>
      <c r="H558" s="1">
        <v>71161.0</v>
      </c>
      <c r="I558" s="3" t="s">
        <v>1942</v>
      </c>
    </row>
    <row r="559" ht="15.75" customHeight="1">
      <c r="A559" s="1" t="s">
        <v>4397</v>
      </c>
      <c r="B559" s="1" t="s">
        <v>4398</v>
      </c>
      <c r="C559" s="1"/>
      <c r="D559" s="1" t="s">
        <v>4399</v>
      </c>
      <c r="E559" s="1" t="s">
        <v>4400</v>
      </c>
      <c r="F559" s="1" t="s">
        <v>4401</v>
      </c>
      <c r="G559" s="1" t="s">
        <v>1941</v>
      </c>
      <c r="H559" s="1">
        <v>32835.0</v>
      </c>
      <c r="I559" s="3" t="s">
        <v>1951</v>
      </c>
    </row>
    <row r="560" ht="15.75" customHeight="1">
      <c r="A560" s="1" t="s">
        <v>1108</v>
      </c>
      <c r="B560" s="1" t="s">
        <v>4402</v>
      </c>
      <c r="C560" s="1"/>
      <c r="D560" s="1" t="s">
        <v>4403</v>
      </c>
      <c r="E560" s="1" t="s">
        <v>4404</v>
      </c>
      <c r="F560" s="1" t="s">
        <v>3320</v>
      </c>
      <c r="G560" s="1" t="s">
        <v>1941</v>
      </c>
      <c r="H560" s="1">
        <v>40515.0</v>
      </c>
      <c r="I560" s="3" t="s">
        <v>1942</v>
      </c>
    </row>
    <row r="561" ht="15.75" customHeight="1">
      <c r="A561" s="1" t="s">
        <v>1110</v>
      </c>
      <c r="B561" s="1" t="s">
        <v>4405</v>
      </c>
      <c r="C561" s="1" t="s">
        <v>4406</v>
      </c>
      <c r="D561" s="1" t="s">
        <v>4407</v>
      </c>
      <c r="E561" s="1" t="s">
        <v>4408</v>
      </c>
      <c r="F561" s="1" t="s">
        <v>3121</v>
      </c>
      <c r="G561" s="1" t="s">
        <v>1941</v>
      </c>
      <c r="H561" s="1">
        <v>53263.0</v>
      </c>
      <c r="I561" s="3" t="s">
        <v>1942</v>
      </c>
    </row>
    <row r="562" ht="15.75" customHeight="1">
      <c r="A562" s="1" t="s">
        <v>1112</v>
      </c>
      <c r="B562" s="1" t="s">
        <v>4409</v>
      </c>
      <c r="C562" s="1"/>
      <c r="D562" s="1" t="s">
        <v>4410</v>
      </c>
      <c r="E562" s="1" t="s">
        <v>4411</v>
      </c>
      <c r="F562" s="1" t="s">
        <v>4412</v>
      </c>
      <c r="G562" s="1" t="s">
        <v>1941</v>
      </c>
      <c r="H562" s="1">
        <v>79176.0</v>
      </c>
      <c r="I562" s="3" t="s">
        <v>1942</v>
      </c>
    </row>
    <row r="563" ht="15.75" customHeight="1">
      <c r="A563" s="1" t="s">
        <v>1114</v>
      </c>
      <c r="B563" s="1" t="s">
        <v>4413</v>
      </c>
      <c r="C563" s="1"/>
      <c r="D563" s="1" t="s">
        <v>4414</v>
      </c>
      <c r="E563" s="1" t="s">
        <v>4415</v>
      </c>
      <c r="F563" s="1" t="s">
        <v>4416</v>
      </c>
      <c r="G563" s="1" t="s">
        <v>1949</v>
      </c>
      <c r="H563" s="1" t="s">
        <v>4417</v>
      </c>
      <c r="I563" s="3" t="s">
        <v>1942</v>
      </c>
    </row>
    <row r="564" ht="15.75" customHeight="1">
      <c r="A564" s="1" t="s">
        <v>1116</v>
      </c>
      <c r="B564" s="1" t="s">
        <v>4418</v>
      </c>
      <c r="C564" s="1" t="s">
        <v>4419</v>
      </c>
      <c r="D564" s="1" t="s">
        <v>4420</v>
      </c>
      <c r="E564" s="1" t="s">
        <v>4421</v>
      </c>
      <c r="F564" s="1" t="s">
        <v>4422</v>
      </c>
      <c r="G564" s="1" t="s">
        <v>2116</v>
      </c>
      <c r="H564" s="1" t="s">
        <v>4423</v>
      </c>
      <c r="I564" s="3" t="s">
        <v>1951</v>
      </c>
    </row>
    <row r="565" ht="15.75" customHeight="1">
      <c r="A565" s="1" t="s">
        <v>4424</v>
      </c>
      <c r="B565" s="1" t="s">
        <v>4425</v>
      </c>
      <c r="C565" s="1" t="s">
        <v>4426</v>
      </c>
      <c r="D565" s="1" t="s">
        <v>4427</v>
      </c>
      <c r="E565" s="1" t="s">
        <v>4428</v>
      </c>
      <c r="F565" s="1" t="s">
        <v>3049</v>
      </c>
      <c r="G565" s="1" t="s">
        <v>1941</v>
      </c>
      <c r="H565" s="1">
        <v>30323.0</v>
      </c>
      <c r="I565" s="3" t="s">
        <v>1951</v>
      </c>
    </row>
    <row r="566" ht="15.75" customHeight="1">
      <c r="A566" s="1" t="s">
        <v>1120</v>
      </c>
      <c r="B566" s="1" t="s">
        <v>4429</v>
      </c>
      <c r="C566" s="1" t="s">
        <v>4430</v>
      </c>
      <c r="D566" s="1" t="s">
        <v>4431</v>
      </c>
      <c r="E566" s="1" t="s">
        <v>4432</v>
      </c>
      <c r="F566" s="1" t="s">
        <v>3412</v>
      </c>
      <c r="G566" s="1" t="s">
        <v>1941</v>
      </c>
      <c r="H566" s="1">
        <v>37924.0</v>
      </c>
      <c r="I566" s="3" t="s">
        <v>1951</v>
      </c>
    </row>
    <row r="567" ht="15.75" customHeight="1">
      <c r="A567" s="1" t="s">
        <v>1122</v>
      </c>
      <c r="B567" s="1" t="s">
        <v>4433</v>
      </c>
      <c r="C567" s="1" t="s">
        <v>4434</v>
      </c>
      <c r="D567" s="1" t="s">
        <v>4435</v>
      </c>
      <c r="E567" s="1" t="s">
        <v>4436</v>
      </c>
      <c r="F567" s="1" t="s">
        <v>2988</v>
      </c>
      <c r="G567" s="1" t="s">
        <v>1941</v>
      </c>
      <c r="H567" s="1">
        <v>66225.0</v>
      </c>
      <c r="I567" s="3" t="s">
        <v>1951</v>
      </c>
    </row>
    <row r="568" ht="15.75" customHeight="1">
      <c r="A568" s="1" t="s">
        <v>1124</v>
      </c>
      <c r="B568" s="1" t="s">
        <v>4437</v>
      </c>
      <c r="C568" s="1" t="s">
        <v>4438</v>
      </c>
      <c r="D568" s="1" t="s">
        <v>4439</v>
      </c>
      <c r="E568" s="1" t="s">
        <v>4440</v>
      </c>
      <c r="F568" s="1" t="s">
        <v>2191</v>
      </c>
      <c r="G568" s="1" t="s">
        <v>1941</v>
      </c>
      <c r="H568" s="1">
        <v>33330.0</v>
      </c>
      <c r="I568" s="3" t="s">
        <v>1942</v>
      </c>
    </row>
    <row r="569" ht="15.75" customHeight="1">
      <c r="A569" s="1" t="s">
        <v>1126</v>
      </c>
      <c r="B569" s="1" t="s">
        <v>4441</v>
      </c>
      <c r="C569" s="1"/>
      <c r="D569" s="1" t="s">
        <v>4442</v>
      </c>
      <c r="E569" s="1" t="s">
        <v>4443</v>
      </c>
      <c r="F569" s="1" t="s">
        <v>2076</v>
      </c>
      <c r="G569" s="1" t="s">
        <v>1949</v>
      </c>
      <c r="H569" s="1" t="s">
        <v>2077</v>
      </c>
      <c r="I569" s="3" t="s">
        <v>1951</v>
      </c>
    </row>
    <row r="570" ht="15.75" customHeight="1">
      <c r="A570" s="1" t="s">
        <v>1128</v>
      </c>
      <c r="B570" s="1" t="s">
        <v>4444</v>
      </c>
      <c r="C570" s="1" t="s">
        <v>4445</v>
      </c>
      <c r="D570" s="1" t="s">
        <v>4446</v>
      </c>
      <c r="E570" s="1" t="s">
        <v>4447</v>
      </c>
      <c r="F570" s="1" t="s">
        <v>2387</v>
      </c>
      <c r="G570" s="1" t="s">
        <v>1941</v>
      </c>
      <c r="H570" s="1">
        <v>78715.0</v>
      </c>
      <c r="I570" s="3" t="s">
        <v>1942</v>
      </c>
    </row>
    <row r="571" ht="15.75" customHeight="1">
      <c r="A571" s="1" t="s">
        <v>4448</v>
      </c>
      <c r="B571" s="1" t="s">
        <v>4449</v>
      </c>
      <c r="C571" s="1" t="s">
        <v>4450</v>
      </c>
      <c r="D571" s="1" t="s">
        <v>4451</v>
      </c>
      <c r="E571" s="1" t="s">
        <v>4452</v>
      </c>
      <c r="F571" s="1" t="s">
        <v>4193</v>
      </c>
      <c r="G571" s="1" t="s">
        <v>1941</v>
      </c>
      <c r="H571" s="1">
        <v>44105.0</v>
      </c>
      <c r="I571" s="3" t="s">
        <v>1951</v>
      </c>
    </row>
    <row r="572" ht="15.75" customHeight="1">
      <c r="A572" s="1" t="s">
        <v>1131</v>
      </c>
      <c r="B572" s="1" t="s">
        <v>4453</v>
      </c>
      <c r="C572" s="1" t="s">
        <v>4454</v>
      </c>
      <c r="D572" s="1" t="s">
        <v>4455</v>
      </c>
      <c r="E572" s="1" t="s">
        <v>4456</v>
      </c>
      <c r="F572" s="1" t="s">
        <v>4457</v>
      </c>
      <c r="G572" s="1" t="s">
        <v>1941</v>
      </c>
      <c r="H572" s="1">
        <v>20784.0</v>
      </c>
      <c r="I572" s="3" t="s">
        <v>1951</v>
      </c>
    </row>
    <row r="573" ht="15.75" customHeight="1">
      <c r="A573" s="1" t="s">
        <v>1133</v>
      </c>
      <c r="B573" s="1" t="s">
        <v>4458</v>
      </c>
      <c r="C573" s="1" t="s">
        <v>4459</v>
      </c>
      <c r="D573" s="1" t="s">
        <v>4460</v>
      </c>
      <c r="E573" s="1" t="s">
        <v>4461</v>
      </c>
      <c r="F573" s="1" t="s">
        <v>4462</v>
      </c>
      <c r="G573" s="1" t="s">
        <v>2116</v>
      </c>
      <c r="H573" s="1" t="s">
        <v>4463</v>
      </c>
      <c r="I573" s="3" t="s">
        <v>1951</v>
      </c>
    </row>
    <row r="574" ht="15.75" customHeight="1">
      <c r="A574" s="1" t="s">
        <v>1135</v>
      </c>
      <c r="B574" s="1" t="s">
        <v>4464</v>
      </c>
      <c r="C574" s="1"/>
      <c r="D574" s="1"/>
      <c r="E574" s="1" t="s">
        <v>4465</v>
      </c>
      <c r="F574" s="1" t="s">
        <v>2947</v>
      </c>
      <c r="G574" s="1" t="s">
        <v>1941</v>
      </c>
      <c r="H574" s="1">
        <v>91103.0</v>
      </c>
      <c r="I574" s="3" t="s">
        <v>1942</v>
      </c>
    </row>
    <row r="575" ht="15.75" customHeight="1">
      <c r="A575" s="1" t="s">
        <v>1137</v>
      </c>
      <c r="B575" s="1" t="s">
        <v>4466</v>
      </c>
      <c r="C575" s="1" t="s">
        <v>4467</v>
      </c>
      <c r="D575" s="1" t="s">
        <v>4468</v>
      </c>
      <c r="E575" s="1" t="s">
        <v>4469</v>
      </c>
      <c r="F575" s="1" t="s">
        <v>3524</v>
      </c>
      <c r="G575" s="1" t="s">
        <v>1941</v>
      </c>
      <c r="H575" s="1">
        <v>71161.0</v>
      </c>
      <c r="I575" s="3" t="s">
        <v>1951</v>
      </c>
    </row>
    <row r="576" ht="15.75" customHeight="1">
      <c r="A576" s="1" t="s">
        <v>1139</v>
      </c>
      <c r="B576" s="1" t="s">
        <v>4470</v>
      </c>
      <c r="C576" s="1" t="s">
        <v>4471</v>
      </c>
      <c r="D576" s="1"/>
      <c r="E576" s="1" t="s">
        <v>4472</v>
      </c>
      <c r="F576" s="1" t="s">
        <v>2225</v>
      </c>
      <c r="G576" s="1" t="s">
        <v>1941</v>
      </c>
      <c r="H576" s="1">
        <v>32590.0</v>
      </c>
      <c r="I576" s="3" t="s">
        <v>1942</v>
      </c>
    </row>
    <row r="577" ht="15.75" customHeight="1">
      <c r="A577" s="1" t="s">
        <v>1141</v>
      </c>
      <c r="B577" s="1" t="s">
        <v>4473</v>
      </c>
      <c r="C577" s="1" t="s">
        <v>4474</v>
      </c>
      <c r="D577" s="1" t="s">
        <v>4475</v>
      </c>
      <c r="E577" s="1" t="s">
        <v>4476</v>
      </c>
      <c r="F577" s="1" t="s">
        <v>1986</v>
      </c>
      <c r="G577" s="1" t="s">
        <v>1941</v>
      </c>
      <c r="H577" s="1">
        <v>90035.0</v>
      </c>
      <c r="I577" s="3" t="s">
        <v>1951</v>
      </c>
    </row>
    <row r="578" ht="15.75" customHeight="1">
      <c r="A578" s="1" t="s">
        <v>1143</v>
      </c>
      <c r="B578" s="1" t="s">
        <v>4477</v>
      </c>
      <c r="C578" s="1" t="s">
        <v>4478</v>
      </c>
      <c r="D578" s="1" t="s">
        <v>4479</v>
      </c>
      <c r="E578" s="1" t="s">
        <v>4480</v>
      </c>
      <c r="F578" s="1" t="s">
        <v>4481</v>
      </c>
      <c r="G578" s="1" t="s">
        <v>1941</v>
      </c>
      <c r="H578" s="1">
        <v>27705.0</v>
      </c>
      <c r="I578" s="3" t="s">
        <v>1951</v>
      </c>
    </row>
    <row r="579" ht="15.75" customHeight="1">
      <c r="A579" s="1" t="s">
        <v>1118</v>
      </c>
      <c r="B579" s="1" t="s">
        <v>4482</v>
      </c>
      <c r="C579" s="1" t="s">
        <v>4483</v>
      </c>
      <c r="D579" s="1"/>
      <c r="E579" s="1" t="s">
        <v>4484</v>
      </c>
      <c r="F579" s="1" t="s">
        <v>4485</v>
      </c>
      <c r="G579" s="1" t="s">
        <v>2116</v>
      </c>
      <c r="H579" s="1" t="s">
        <v>4486</v>
      </c>
      <c r="I579" s="3" t="s">
        <v>1951</v>
      </c>
    </row>
    <row r="580" ht="15.75" customHeight="1">
      <c r="A580" s="1" t="s">
        <v>1146</v>
      </c>
      <c r="B580" s="1" t="s">
        <v>4487</v>
      </c>
      <c r="C580" s="1" t="s">
        <v>4488</v>
      </c>
      <c r="D580" s="1" t="s">
        <v>4489</v>
      </c>
      <c r="E580" s="1" t="s">
        <v>4490</v>
      </c>
      <c r="F580" s="1" t="s">
        <v>4491</v>
      </c>
      <c r="G580" s="1" t="s">
        <v>1949</v>
      </c>
      <c r="H580" s="1" t="s">
        <v>4492</v>
      </c>
      <c r="I580" s="3" t="s">
        <v>1951</v>
      </c>
    </row>
    <row r="581" ht="15.75" customHeight="1">
      <c r="A581" s="1" t="s">
        <v>4493</v>
      </c>
      <c r="B581" s="1" t="s">
        <v>4494</v>
      </c>
      <c r="C581" s="1" t="s">
        <v>4495</v>
      </c>
      <c r="D581" s="1" t="s">
        <v>4496</v>
      </c>
      <c r="E581" s="1" t="s">
        <v>4497</v>
      </c>
      <c r="F581" s="1" t="s">
        <v>4416</v>
      </c>
      <c r="G581" s="1" t="s">
        <v>1949</v>
      </c>
      <c r="H581" s="1" t="s">
        <v>4417</v>
      </c>
      <c r="I581" s="3" t="s">
        <v>1951</v>
      </c>
    </row>
    <row r="582" ht="15.75" customHeight="1">
      <c r="A582" s="1" t="s">
        <v>1148</v>
      </c>
      <c r="B582" s="1" t="s">
        <v>4498</v>
      </c>
      <c r="C582" s="1" t="s">
        <v>4499</v>
      </c>
      <c r="D582" s="1" t="s">
        <v>4500</v>
      </c>
      <c r="E582" s="1" t="s">
        <v>4501</v>
      </c>
      <c r="F582" s="1" t="s">
        <v>2758</v>
      </c>
      <c r="G582" s="1" t="s">
        <v>1941</v>
      </c>
      <c r="H582" s="1">
        <v>90605.0</v>
      </c>
      <c r="I582" s="3" t="s">
        <v>1942</v>
      </c>
    </row>
    <row r="583" ht="15.75" customHeight="1">
      <c r="A583" s="1" t="s">
        <v>1150</v>
      </c>
      <c r="B583" s="1" t="s">
        <v>4502</v>
      </c>
      <c r="C583" s="1" t="s">
        <v>4503</v>
      </c>
      <c r="D583" s="1"/>
      <c r="E583" s="1" t="s">
        <v>4504</v>
      </c>
      <c r="F583" s="1" t="s">
        <v>2172</v>
      </c>
      <c r="G583" s="1" t="s">
        <v>2116</v>
      </c>
      <c r="H583" s="1" t="s">
        <v>2486</v>
      </c>
      <c r="I583" s="3" t="s">
        <v>1942</v>
      </c>
    </row>
    <row r="584" ht="15.75" customHeight="1">
      <c r="A584" s="1" t="s">
        <v>1152</v>
      </c>
      <c r="B584" s="1" t="s">
        <v>4505</v>
      </c>
      <c r="C584" s="1" t="s">
        <v>4506</v>
      </c>
      <c r="D584" s="1" t="s">
        <v>4507</v>
      </c>
      <c r="E584" s="1" t="s">
        <v>4508</v>
      </c>
      <c r="F584" s="1" t="s">
        <v>2004</v>
      </c>
      <c r="G584" s="1" t="s">
        <v>1941</v>
      </c>
      <c r="H584" s="1">
        <v>23237.0</v>
      </c>
      <c r="I584" s="3" t="s">
        <v>1951</v>
      </c>
    </row>
    <row r="585" ht="15.75" customHeight="1">
      <c r="A585" s="1" t="s">
        <v>1154</v>
      </c>
      <c r="B585" s="1" t="s">
        <v>4509</v>
      </c>
      <c r="C585" s="1" t="s">
        <v>4510</v>
      </c>
      <c r="D585" s="1" t="s">
        <v>4511</v>
      </c>
      <c r="E585" s="1" t="s">
        <v>4512</v>
      </c>
      <c r="F585" s="1" t="s">
        <v>4074</v>
      </c>
      <c r="G585" s="1" t="s">
        <v>1941</v>
      </c>
      <c r="H585" s="1">
        <v>20167.0</v>
      </c>
      <c r="I585" s="3" t="s">
        <v>1942</v>
      </c>
    </row>
    <row r="586" ht="15.75" customHeight="1">
      <c r="A586" s="1" t="s">
        <v>1156</v>
      </c>
      <c r="B586" s="1" t="s">
        <v>4513</v>
      </c>
      <c r="C586" s="1" t="s">
        <v>4514</v>
      </c>
      <c r="D586" s="1" t="s">
        <v>4515</v>
      </c>
      <c r="E586" s="1" t="s">
        <v>4516</v>
      </c>
      <c r="F586" s="1" t="s">
        <v>2625</v>
      </c>
      <c r="G586" s="1" t="s">
        <v>1941</v>
      </c>
      <c r="H586" s="1">
        <v>89706.0</v>
      </c>
      <c r="I586" s="3" t="s">
        <v>1951</v>
      </c>
    </row>
    <row r="587" ht="15.75" customHeight="1">
      <c r="A587" s="1" t="s">
        <v>4517</v>
      </c>
      <c r="B587" s="1" t="s">
        <v>4518</v>
      </c>
      <c r="C587" s="1" t="s">
        <v>4519</v>
      </c>
      <c r="D587" s="1" t="s">
        <v>4520</v>
      </c>
      <c r="E587" s="1" t="s">
        <v>4521</v>
      </c>
      <c r="F587" s="1" t="s">
        <v>2673</v>
      </c>
      <c r="G587" s="1" t="s">
        <v>1949</v>
      </c>
      <c r="H587" s="1" t="s">
        <v>2674</v>
      </c>
      <c r="I587" s="3" t="s">
        <v>1942</v>
      </c>
    </row>
    <row r="588" ht="15.75" customHeight="1">
      <c r="A588" s="1" t="s">
        <v>1160</v>
      </c>
      <c r="B588" s="1" t="s">
        <v>4522</v>
      </c>
      <c r="C588" s="1"/>
      <c r="D588" s="1" t="s">
        <v>4523</v>
      </c>
      <c r="E588" s="1" t="s">
        <v>4524</v>
      </c>
      <c r="F588" s="1" t="s">
        <v>2233</v>
      </c>
      <c r="G588" s="1" t="s">
        <v>1941</v>
      </c>
      <c r="H588" s="1">
        <v>55123.0</v>
      </c>
      <c r="I588" s="3" t="s">
        <v>1951</v>
      </c>
    </row>
    <row r="589" ht="15.75" customHeight="1">
      <c r="A589" s="1" t="s">
        <v>1162</v>
      </c>
      <c r="B589" s="1" t="s">
        <v>4525</v>
      </c>
      <c r="C589" s="1" t="s">
        <v>4526</v>
      </c>
      <c r="D589" s="1"/>
      <c r="E589" s="1" t="s">
        <v>4527</v>
      </c>
      <c r="F589" s="1" t="s">
        <v>2567</v>
      </c>
      <c r="G589" s="1" t="s">
        <v>1941</v>
      </c>
      <c r="H589" s="1">
        <v>35895.0</v>
      </c>
      <c r="I589" s="3" t="s">
        <v>1942</v>
      </c>
    </row>
    <row r="590" ht="15.75" customHeight="1">
      <c r="A590" s="1" t="s">
        <v>1164</v>
      </c>
      <c r="B590" s="1" t="s">
        <v>4528</v>
      </c>
      <c r="C590" s="1" t="s">
        <v>4529</v>
      </c>
      <c r="D590" s="1" t="s">
        <v>4530</v>
      </c>
      <c r="E590" s="1" t="s">
        <v>4531</v>
      </c>
      <c r="F590" s="1" t="s">
        <v>2448</v>
      </c>
      <c r="G590" s="1" t="s">
        <v>1941</v>
      </c>
      <c r="H590" s="1">
        <v>88553.0</v>
      </c>
      <c r="I590" s="3" t="s">
        <v>1942</v>
      </c>
    </row>
    <row r="591" ht="15.75" customHeight="1">
      <c r="A591" s="1" t="s">
        <v>1166</v>
      </c>
      <c r="B591" s="1" t="s">
        <v>4532</v>
      </c>
      <c r="C591" s="1" t="s">
        <v>4533</v>
      </c>
      <c r="D591" s="1"/>
      <c r="E591" s="1" t="s">
        <v>4534</v>
      </c>
      <c r="F591" s="1" t="s">
        <v>4535</v>
      </c>
      <c r="G591" s="1" t="s">
        <v>1941</v>
      </c>
      <c r="H591" s="1">
        <v>30033.0</v>
      </c>
      <c r="I591" s="3" t="s">
        <v>1951</v>
      </c>
    </row>
    <row r="592" ht="15.75" customHeight="1">
      <c r="A592" s="1" t="s">
        <v>1168</v>
      </c>
      <c r="B592" s="1" t="s">
        <v>4536</v>
      </c>
      <c r="C592" s="1" t="s">
        <v>4537</v>
      </c>
      <c r="D592" s="1" t="s">
        <v>4538</v>
      </c>
      <c r="E592" s="1" t="s">
        <v>4539</v>
      </c>
      <c r="F592" s="1" t="s">
        <v>2616</v>
      </c>
      <c r="G592" s="1" t="s">
        <v>1941</v>
      </c>
      <c r="H592" s="1">
        <v>92668.0</v>
      </c>
      <c r="I592" s="3" t="s">
        <v>1942</v>
      </c>
    </row>
    <row r="593" ht="15.75" customHeight="1">
      <c r="A593" s="1" t="s">
        <v>1170</v>
      </c>
      <c r="B593" s="1" t="s">
        <v>4540</v>
      </c>
      <c r="C593" s="1" t="s">
        <v>4541</v>
      </c>
      <c r="D593" s="1"/>
      <c r="E593" s="1" t="s">
        <v>4542</v>
      </c>
      <c r="F593" s="1" t="s">
        <v>4543</v>
      </c>
      <c r="G593" s="1" t="s">
        <v>1941</v>
      </c>
      <c r="H593" s="1">
        <v>92648.0</v>
      </c>
      <c r="I593" s="3" t="s">
        <v>1942</v>
      </c>
    </row>
    <row r="594" ht="15.75" customHeight="1">
      <c r="A594" s="1" t="s">
        <v>1172</v>
      </c>
      <c r="B594" s="1" t="s">
        <v>4544</v>
      </c>
      <c r="C594" s="1"/>
      <c r="D594" s="1" t="s">
        <v>4545</v>
      </c>
      <c r="E594" s="1" t="s">
        <v>4546</v>
      </c>
      <c r="F594" s="1" t="s">
        <v>3121</v>
      </c>
      <c r="G594" s="1" t="s">
        <v>1941</v>
      </c>
      <c r="H594" s="1">
        <v>53285.0</v>
      </c>
      <c r="I594" s="3" t="s">
        <v>1951</v>
      </c>
    </row>
    <row r="595" ht="15.75" customHeight="1">
      <c r="A595" s="1" t="s">
        <v>1158</v>
      </c>
      <c r="B595" s="1" t="s">
        <v>4547</v>
      </c>
      <c r="C595" s="1" t="s">
        <v>4548</v>
      </c>
      <c r="D595" s="1"/>
      <c r="E595" s="1" t="s">
        <v>4549</v>
      </c>
      <c r="F595" s="1" t="s">
        <v>2115</v>
      </c>
      <c r="G595" s="1" t="s">
        <v>2116</v>
      </c>
      <c r="H595" s="1" t="s">
        <v>2117</v>
      </c>
      <c r="I595" s="3" t="s">
        <v>1942</v>
      </c>
    </row>
    <row r="596" ht="15.75" customHeight="1">
      <c r="A596" s="1" t="s">
        <v>1175</v>
      </c>
      <c r="B596" s="1" t="s">
        <v>4550</v>
      </c>
      <c r="C596" s="1" t="s">
        <v>4551</v>
      </c>
      <c r="D596" s="1" t="s">
        <v>4552</v>
      </c>
      <c r="E596" s="1" t="s">
        <v>4553</v>
      </c>
      <c r="F596" s="1" t="s">
        <v>2678</v>
      </c>
      <c r="G596" s="1" t="s">
        <v>1941</v>
      </c>
      <c r="H596" s="1">
        <v>37416.0</v>
      </c>
      <c r="I596" s="3" t="s">
        <v>1951</v>
      </c>
    </row>
    <row r="597" ht="15.75" customHeight="1">
      <c r="A597" s="1" t="s">
        <v>1177</v>
      </c>
      <c r="B597" s="1" t="s">
        <v>4554</v>
      </c>
      <c r="C597" s="1"/>
      <c r="D597" s="1"/>
      <c r="E597" s="1" t="s">
        <v>4555</v>
      </c>
      <c r="F597" s="1" t="s">
        <v>4556</v>
      </c>
      <c r="G597" s="1" t="s">
        <v>2116</v>
      </c>
      <c r="H597" s="1" t="s">
        <v>4557</v>
      </c>
      <c r="I597" s="3" t="s">
        <v>1951</v>
      </c>
    </row>
    <row r="598" ht="15.75" customHeight="1">
      <c r="A598" s="1" t="s">
        <v>1179</v>
      </c>
      <c r="B598" s="1" t="s">
        <v>4558</v>
      </c>
      <c r="C598" s="1" t="s">
        <v>4559</v>
      </c>
      <c r="D598" s="1" t="s">
        <v>4560</v>
      </c>
      <c r="E598" s="1" t="s">
        <v>4561</v>
      </c>
      <c r="F598" s="1" t="s">
        <v>2287</v>
      </c>
      <c r="G598" s="1" t="s">
        <v>1941</v>
      </c>
      <c r="H598" s="1">
        <v>43268.0</v>
      </c>
      <c r="I598" s="3" t="s">
        <v>1951</v>
      </c>
    </row>
    <row r="599" ht="15.75" customHeight="1">
      <c r="A599" s="1" t="s">
        <v>1181</v>
      </c>
      <c r="B599" s="1" t="s">
        <v>4562</v>
      </c>
      <c r="C599" s="1" t="s">
        <v>4563</v>
      </c>
      <c r="D599" s="1" t="s">
        <v>4564</v>
      </c>
      <c r="E599" s="1" t="s">
        <v>4565</v>
      </c>
      <c r="F599" s="1" t="s">
        <v>2947</v>
      </c>
      <c r="G599" s="1" t="s">
        <v>1941</v>
      </c>
      <c r="H599" s="1">
        <v>91186.0</v>
      </c>
      <c r="I599" s="3" t="s">
        <v>1942</v>
      </c>
    </row>
    <row r="600" ht="15.75" customHeight="1">
      <c r="A600" s="1" t="s">
        <v>1183</v>
      </c>
      <c r="B600" s="1" t="s">
        <v>4566</v>
      </c>
      <c r="C600" s="1" t="s">
        <v>4567</v>
      </c>
      <c r="D600" s="1" t="s">
        <v>4568</v>
      </c>
      <c r="E600" s="1" t="s">
        <v>4569</v>
      </c>
      <c r="F600" s="1" t="s">
        <v>3090</v>
      </c>
      <c r="G600" s="1" t="s">
        <v>1941</v>
      </c>
      <c r="H600" s="1">
        <v>94159.0</v>
      </c>
      <c r="I600" s="3" t="s">
        <v>1942</v>
      </c>
    </row>
    <row r="601" ht="15.75" customHeight="1">
      <c r="A601" s="1" t="s">
        <v>1185</v>
      </c>
      <c r="B601" s="1" t="s">
        <v>4570</v>
      </c>
      <c r="C601" s="1" t="s">
        <v>4571</v>
      </c>
      <c r="D601" s="1"/>
      <c r="E601" s="1" t="s">
        <v>4572</v>
      </c>
      <c r="F601" s="1" t="s">
        <v>3524</v>
      </c>
      <c r="G601" s="1" t="s">
        <v>1941</v>
      </c>
      <c r="H601" s="1">
        <v>71137.0</v>
      </c>
      <c r="I601" s="3" t="s">
        <v>1942</v>
      </c>
    </row>
    <row r="602" ht="15.75" customHeight="1">
      <c r="A602" s="1" t="s">
        <v>1187</v>
      </c>
      <c r="B602" s="1" t="s">
        <v>4573</v>
      </c>
      <c r="C602" s="1" t="s">
        <v>4574</v>
      </c>
      <c r="D602" s="1" t="s">
        <v>4575</v>
      </c>
      <c r="E602" s="1" t="s">
        <v>4576</v>
      </c>
      <c r="F602" s="1" t="s">
        <v>2017</v>
      </c>
      <c r="G602" s="1" t="s">
        <v>1941</v>
      </c>
      <c r="H602" s="1">
        <v>19141.0</v>
      </c>
      <c r="I602" s="3" t="s">
        <v>1951</v>
      </c>
    </row>
    <row r="603" ht="15.75" customHeight="1">
      <c r="A603" s="1" t="s">
        <v>1189</v>
      </c>
      <c r="B603" s="1" t="s">
        <v>4577</v>
      </c>
      <c r="C603" s="1" t="s">
        <v>4578</v>
      </c>
      <c r="D603" s="1" t="s">
        <v>4579</v>
      </c>
      <c r="E603" s="1" t="s">
        <v>4580</v>
      </c>
      <c r="F603" s="1" t="s">
        <v>2008</v>
      </c>
      <c r="G603" s="1" t="s">
        <v>1941</v>
      </c>
      <c r="H603" s="1">
        <v>41905.0</v>
      </c>
      <c r="I603" s="3" t="s">
        <v>1942</v>
      </c>
    </row>
    <row r="604" ht="15.75" customHeight="1">
      <c r="A604" s="1" t="s">
        <v>1191</v>
      </c>
      <c r="B604" s="1" t="s">
        <v>4581</v>
      </c>
      <c r="C604" s="1" t="s">
        <v>4582</v>
      </c>
      <c r="D604" s="1" t="s">
        <v>4583</v>
      </c>
      <c r="E604" s="1" t="s">
        <v>4584</v>
      </c>
      <c r="F604" s="1" t="s">
        <v>2211</v>
      </c>
      <c r="G604" s="1" t="s">
        <v>1941</v>
      </c>
      <c r="H604" s="1">
        <v>43666.0</v>
      </c>
      <c r="I604" s="3" t="s">
        <v>1942</v>
      </c>
    </row>
    <row r="605" ht="15.75" customHeight="1">
      <c r="A605" s="1" t="s">
        <v>1193</v>
      </c>
      <c r="B605" s="1" t="s">
        <v>4585</v>
      </c>
      <c r="C605" s="1" t="s">
        <v>4586</v>
      </c>
      <c r="D605" s="1"/>
      <c r="E605" s="1" t="s">
        <v>4587</v>
      </c>
      <c r="F605" s="1" t="s">
        <v>2340</v>
      </c>
      <c r="G605" s="1" t="s">
        <v>1941</v>
      </c>
      <c r="H605" s="1">
        <v>80945.0</v>
      </c>
      <c r="I605" s="3" t="s">
        <v>1951</v>
      </c>
    </row>
    <row r="606" ht="15.75" customHeight="1">
      <c r="A606" s="1" t="s">
        <v>1195</v>
      </c>
      <c r="B606" s="1" t="s">
        <v>4588</v>
      </c>
      <c r="C606" s="1"/>
      <c r="D606" s="1" t="s">
        <v>4589</v>
      </c>
      <c r="E606" s="1" t="s">
        <v>4590</v>
      </c>
      <c r="F606" s="1" t="s">
        <v>3839</v>
      </c>
      <c r="G606" s="1" t="s">
        <v>1949</v>
      </c>
      <c r="H606" s="1" t="s">
        <v>3840</v>
      </c>
      <c r="I606" s="3" t="s">
        <v>1951</v>
      </c>
    </row>
    <row r="607" ht="15.75" customHeight="1">
      <c r="A607" s="1" t="s">
        <v>1197</v>
      </c>
      <c r="B607" s="1" t="s">
        <v>4591</v>
      </c>
      <c r="C607" s="1" t="s">
        <v>4592</v>
      </c>
      <c r="D607" s="1" t="s">
        <v>4593</v>
      </c>
      <c r="E607" s="1" t="s">
        <v>4594</v>
      </c>
      <c r="F607" s="1" t="s">
        <v>4595</v>
      </c>
      <c r="G607" s="1" t="s">
        <v>1941</v>
      </c>
      <c r="H607" s="1">
        <v>15274.0</v>
      </c>
      <c r="I607" s="3" t="s">
        <v>1942</v>
      </c>
    </row>
    <row r="608" ht="15.75" customHeight="1">
      <c r="A608" s="1" t="s">
        <v>4596</v>
      </c>
      <c r="B608" s="1" t="s">
        <v>4597</v>
      </c>
      <c r="C608" s="1" t="s">
        <v>4598</v>
      </c>
      <c r="D608" s="1" t="s">
        <v>4599</v>
      </c>
      <c r="E608" s="1" t="s">
        <v>4600</v>
      </c>
      <c r="F608" s="1" t="s">
        <v>3388</v>
      </c>
      <c r="G608" s="1" t="s">
        <v>1941</v>
      </c>
      <c r="H608" s="1">
        <v>33411.0</v>
      </c>
      <c r="I608" s="3" t="s">
        <v>1951</v>
      </c>
    </row>
    <row r="609" ht="15.75" customHeight="1">
      <c r="A609" s="1" t="s">
        <v>1200</v>
      </c>
      <c r="B609" s="1" t="s">
        <v>4601</v>
      </c>
      <c r="C609" s="1" t="s">
        <v>4602</v>
      </c>
      <c r="D609" s="1" t="s">
        <v>4603</v>
      </c>
      <c r="E609" s="1" t="s">
        <v>4604</v>
      </c>
      <c r="F609" s="1" t="s">
        <v>3524</v>
      </c>
      <c r="G609" s="1" t="s">
        <v>1941</v>
      </c>
      <c r="H609" s="1">
        <v>71115.0</v>
      </c>
      <c r="I609" s="3" t="s">
        <v>1942</v>
      </c>
    </row>
    <row r="610" ht="15.75" customHeight="1">
      <c r="A610" s="1" t="s">
        <v>1202</v>
      </c>
      <c r="B610" s="1" t="s">
        <v>4605</v>
      </c>
      <c r="C610" s="1"/>
      <c r="D610" s="1"/>
      <c r="E610" s="1" t="s">
        <v>4606</v>
      </c>
      <c r="F610" s="1" t="s">
        <v>4193</v>
      </c>
      <c r="G610" s="1" t="s">
        <v>1941</v>
      </c>
      <c r="H610" s="1">
        <v>44105.0</v>
      </c>
      <c r="I610" s="3" t="s">
        <v>1951</v>
      </c>
    </row>
    <row r="611" ht="15.75" customHeight="1">
      <c r="A611" s="1" t="s">
        <v>1204</v>
      </c>
      <c r="B611" s="1" t="s">
        <v>4607</v>
      </c>
      <c r="C611" s="1" t="s">
        <v>4608</v>
      </c>
      <c r="D611" s="1" t="s">
        <v>4609</v>
      </c>
      <c r="E611" s="1" t="s">
        <v>4610</v>
      </c>
      <c r="F611" s="1" t="s">
        <v>3121</v>
      </c>
      <c r="G611" s="1" t="s">
        <v>1941</v>
      </c>
      <c r="H611" s="1">
        <v>53234.0</v>
      </c>
      <c r="I611" s="3" t="s">
        <v>1942</v>
      </c>
    </row>
    <row r="612" ht="15.75" customHeight="1">
      <c r="A612" s="1" t="s">
        <v>1206</v>
      </c>
      <c r="B612" s="1" t="s">
        <v>4611</v>
      </c>
      <c r="C612" s="1" t="s">
        <v>4612</v>
      </c>
      <c r="D612" s="1" t="s">
        <v>4613</v>
      </c>
      <c r="E612" s="1" t="s">
        <v>4614</v>
      </c>
      <c r="F612" s="1" t="s">
        <v>2191</v>
      </c>
      <c r="G612" s="1" t="s">
        <v>1941</v>
      </c>
      <c r="H612" s="1">
        <v>33345.0</v>
      </c>
      <c r="I612" s="3" t="s">
        <v>1951</v>
      </c>
    </row>
    <row r="613" ht="15.75" customHeight="1">
      <c r="A613" s="1" t="s">
        <v>1208</v>
      </c>
      <c r="B613" s="1" t="s">
        <v>4615</v>
      </c>
      <c r="C613" s="1" t="s">
        <v>4616</v>
      </c>
      <c r="D613" s="1" t="s">
        <v>4617</v>
      </c>
      <c r="E613" s="1" t="s">
        <v>4618</v>
      </c>
      <c r="F613" s="1" t="s">
        <v>3524</v>
      </c>
      <c r="G613" s="1" t="s">
        <v>1941</v>
      </c>
      <c r="H613" s="1">
        <v>71105.0</v>
      </c>
      <c r="I613" s="3" t="s">
        <v>1951</v>
      </c>
    </row>
    <row r="614" ht="15.75" customHeight="1">
      <c r="A614" s="1" t="s">
        <v>1210</v>
      </c>
      <c r="B614" s="1" t="s">
        <v>4619</v>
      </c>
      <c r="C614" s="1"/>
      <c r="D614" s="1" t="s">
        <v>4620</v>
      </c>
      <c r="E614" s="1" t="s">
        <v>4621</v>
      </c>
      <c r="F614" s="1" t="s">
        <v>2366</v>
      </c>
      <c r="G614" s="1" t="s">
        <v>1949</v>
      </c>
      <c r="H614" s="1" t="s">
        <v>2545</v>
      </c>
      <c r="I614" s="3" t="s">
        <v>1951</v>
      </c>
    </row>
    <row r="615" ht="15.75" customHeight="1">
      <c r="A615" s="1" t="s">
        <v>1212</v>
      </c>
      <c r="B615" s="1" t="s">
        <v>4622</v>
      </c>
      <c r="C615" s="1"/>
      <c r="D615" s="1" t="s">
        <v>4623</v>
      </c>
      <c r="E615" s="1" t="s">
        <v>4624</v>
      </c>
      <c r="F615" s="1" t="s">
        <v>2999</v>
      </c>
      <c r="G615" s="1" t="s">
        <v>1941</v>
      </c>
      <c r="H615" s="1">
        <v>94207.0</v>
      </c>
      <c r="I615" s="3" t="s">
        <v>1951</v>
      </c>
    </row>
    <row r="616" ht="15.75" customHeight="1">
      <c r="A616" s="1" t="s">
        <v>4625</v>
      </c>
      <c r="B616" s="1" t="s">
        <v>4626</v>
      </c>
      <c r="C616" s="1"/>
      <c r="D616" s="1" t="s">
        <v>4627</v>
      </c>
      <c r="E616" s="1" t="s">
        <v>4628</v>
      </c>
      <c r="F616" s="1" t="s">
        <v>2506</v>
      </c>
      <c r="G616" s="1" t="s">
        <v>1941</v>
      </c>
      <c r="H616" s="1">
        <v>37240.0</v>
      </c>
      <c r="I616" s="3" t="s">
        <v>1951</v>
      </c>
    </row>
    <row r="617" ht="15.75" customHeight="1">
      <c r="A617" s="1" t="s">
        <v>1215</v>
      </c>
      <c r="B617" s="1" t="s">
        <v>4629</v>
      </c>
      <c r="C617" s="1" t="s">
        <v>4630</v>
      </c>
      <c r="D617" s="1" t="s">
        <v>4631</v>
      </c>
      <c r="E617" s="1" t="s">
        <v>4632</v>
      </c>
      <c r="F617" s="1" t="s">
        <v>2550</v>
      </c>
      <c r="G617" s="1" t="s">
        <v>1941</v>
      </c>
      <c r="H617" s="1">
        <v>58122.0</v>
      </c>
      <c r="I617" s="3" t="s">
        <v>1942</v>
      </c>
    </row>
    <row r="618" ht="15.75" customHeight="1">
      <c r="A618" s="1" t="s">
        <v>1217</v>
      </c>
      <c r="B618" s="1" t="s">
        <v>4633</v>
      </c>
      <c r="C618" s="1" t="s">
        <v>4634</v>
      </c>
      <c r="D618" s="1" t="s">
        <v>4635</v>
      </c>
      <c r="E618" s="1" t="s">
        <v>4636</v>
      </c>
      <c r="F618" s="1" t="s">
        <v>4637</v>
      </c>
      <c r="G618" s="1" t="s">
        <v>2116</v>
      </c>
      <c r="H618" s="1" t="s">
        <v>4638</v>
      </c>
      <c r="I618" s="3" t="s">
        <v>1951</v>
      </c>
    </row>
    <row r="619" ht="15.75" customHeight="1">
      <c r="A619" s="1" t="s">
        <v>1219</v>
      </c>
      <c r="B619" s="1" t="s">
        <v>4639</v>
      </c>
      <c r="C619" s="1" t="s">
        <v>4640</v>
      </c>
      <c r="D619" s="1" t="s">
        <v>4641</v>
      </c>
      <c r="E619" s="1" t="s">
        <v>4642</v>
      </c>
      <c r="F619" s="1" t="s">
        <v>2816</v>
      </c>
      <c r="G619" s="1" t="s">
        <v>1941</v>
      </c>
      <c r="H619" s="1">
        <v>74184.0</v>
      </c>
      <c r="I619" s="3" t="s">
        <v>1951</v>
      </c>
    </row>
    <row r="620" ht="15.75" customHeight="1">
      <c r="A620" s="1" t="s">
        <v>1221</v>
      </c>
      <c r="B620" s="1" t="s">
        <v>4643</v>
      </c>
      <c r="C620" s="1" t="s">
        <v>4644</v>
      </c>
      <c r="D620" s="1" t="s">
        <v>4645</v>
      </c>
      <c r="E620" s="1" t="s">
        <v>4646</v>
      </c>
      <c r="F620" s="1" t="s">
        <v>2037</v>
      </c>
      <c r="G620" s="1" t="s">
        <v>1941</v>
      </c>
      <c r="H620" s="1">
        <v>10045.0</v>
      </c>
      <c r="I620" s="3" t="s">
        <v>1942</v>
      </c>
    </row>
    <row r="621" ht="15.75" customHeight="1">
      <c r="A621" s="1" t="s">
        <v>1223</v>
      </c>
      <c r="B621" s="1" t="s">
        <v>4647</v>
      </c>
      <c r="C621" s="1" t="s">
        <v>4648</v>
      </c>
      <c r="D621" s="1" t="s">
        <v>4649</v>
      </c>
      <c r="E621" s="1" t="s">
        <v>4650</v>
      </c>
      <c r="F621" s="1" t="s">
        <v>4651</v>
      </c>
      <c r="G621" s="1" t="s">
        <v>1941</v>
      </c>
      <c r="H621" s="1">
        <v>34642.0</v>
      </c>
      <c r="I621" s="3" t="s">
        <v>1942</v>
      </c>
    </row>
    <row r="622" ht="15.75" customHeight="1">
      <c r="A622" s="1" t="s">
        <v>4652</v>
      </c>
      <c r="B622" s="1" t="s">
        <v>4653</v>
      </c>
      <c r="C622" s="1" t="s">
        <v>4654</v>
      </c>
      <c r="D622" s="1" t="s">
        <v>4655</v>
      </c>
      <c r="E622" s="1" t="s">
        <v>4656</v>
      </c>
      <c r="F622" s="1" t="s">
        <v>3918</v>
      </c>
      <c r="G622" s="1" t="s">
        <v>1949</v>
      </c>
      <c r="H622" s="1" t="s">
        <v>3919</v>
      </c>
      <c r="I622" s="3" t="s">
        <v>1951</v>
      </c>
    </row>
    <row r="623" ht="15.75" customHeight="1">
      <c r="A623" s="1" t="s">
        <v>1227</v>
      </c>
      <c r="B623" s="1" t="s">
        <v>4657</v>
      </c>
      <c r="C623" s="1" t="s">
        <v>4658</v>
      </c>
      <c r="D623" s="1" t="s">
        <v>4659</v>
      </c>
      <c r="E623" s="1" t="s">
        <v>4660</v>
      </c>
      <c r="F623" s="1" t="s">
        <v>2022</v>
      </c>
      <c r="G623" s="1" t="s">
        <v>1941</v>
      </c>
      <c r="H623" s="1">
        <v>97296.0</v>
      </c>
      <c r="I623" s="3" t="s">
        <v>1951</v>
      </c>
    </row>
    <row r="624" ht="15.75" customHeight="1">
      <c r="A624" s="1" t="s">
        <v>1229</v>
      </c>
      <c r="B624" s="1" t="s">
        <v>4661</v>
      </c>
      <c r="C624" s="1" t="s">
        <v>4662</v>
      </c>
      <c r="D624" s="1"/>
      <c r="E624" s="1" t="s">
        <v>4663</v>
      </c>
      <c r="F624" s="1" t="s">
        <v>3370</v>
      </c>
      <c r="G624" s="1" t="s">
        <v>1941</v>
      </c>
      <c r="H624" s="1">
        <v>89115.0</v>
      </c>
      <c r="I624" s="3" t="s">
        <v>1951</v>
      </c>
    </row>
    <row r="625" ht="15.75" customHeight="1">
      <c r="A625" s="1" t="s">
        <v>1231</v>
      </c>
      <c r="B625" s="1" t="s">
        <v>4664</v>
      </c>
      <c r="C625" s="1"/>
      <c r="D625" s="1" t="s">
        <v>4665</v>
      </c>
      <c r="E625" s="1" t="s">
        <v>4666</v>
      </c>
      <c r="F625" s="1" t="s">
        <v>4667</v>
      </c>
      <c r="G625" s="1" t="s">
        <v>2116</v>
      </c>
      <c r="H625" s="1" t="s">
        <v>4668</v>
      </c>
      <c r="I625" s="3" t="s">
        <v>1951</v>
      </c>
    </row>
    <row r="626" ht="15.75" customHeight="1">
      <c r="A626" s="1" t="s">
        <v>1233</v>
      </c>
      <c r="B626" s="1" t="s">
        <v>4669</v>
      </c>
      <c r="C626" s="1" t="s">
        <v>4670</v>
      </c>
      <c r="D626" s="1"/>
      <c r="E626" s="1" t="s">
        <v>4671</v>
      </c>
      <c r="F626" s="1" t="s">
        <v>4672</v>
      </c>
      <c r="G626" s="1" t="s">
        <v>1949</v>
      </c>
      <c r="H626" s="1" t="s">
        <v>4673</v>
      </c>
      <c r="I626" s="3" t="s">
        <v>1942</v>
      </c>
    </row>
    <row r="627" ht="15.75" customHeight="1">
      <c r="A627" s="1" t="s">
        <v>1235</v>
      </c>
      <c r="B627" s="1" t="s">
        <v>4674</v>
      </c>
      <c r="C627" s="1" t="s">
        <v>4675</v>
      </c>
      <c r="D627" s="1" t="s">
        <v>4676</v>
      </c>
      <c r="E627" s="1" t="s">
        <v>4677</v>
      </c>
      <c r="F627" s="1" t="s">
        <v>3090</v>
      </c>
      <c r="G627" s="1" t="s">
        <v>1941</v>
      </c>
      <c r="H627" s="1">
        <v>94159.0</v>
      </c>
      <c r="I627" s="3" t="s">
        <v>1951</v>
      </c>
    </row>
    <row r="628" ht="15.75" customHeight="1">
      <c r="A628" s="1" t="s">
        <v>1237</v>
      </c>
      <c r="B628" s="1" t="s">
        <v>4678</v>
      </c>
      <c r="C628" s="1" t="s">
        <v>4679</v>
      </c>
      <c r="D628" s="1" t="s">
        <v>4680</v>
      </c>
      <c r="E628" s="1" t="s">
        <v>4681</v>
      </c>
      <c r="F628" s="1" t="s">
        <v>4595</v>
      </c>
      <c r="G628" s="1" t="s">
        <v>1941</v>
      </c>
      <c r="H628" s="1">
        <v>15274.0</v>
      </c>
      <c r="I628" s="3" t="s">
        <v>1951</v>
      </c>
    </row>
    <row r="629" ht="15.75" customHeight="1">
      <c r="A629" s="1" t="s">
        <v>1239</v>
      </c>
      <c r="B629" s="1" t="s">
        <v>4682</v>
      </c>
      <c r="C629" s="1" t="s">
        <v>4683</v>
      </c>
      <c r="D629" s="1" t="s">
        <v>4684</v>
      </c>
      <c r="E629" s="1" t="s">
        <v>4685</v>
      </c>
      <c r="F629" s="1" t="s">
        <v>2027</v>
      </c>
      <c r="G629" s="1" t="s">
        <v>1941</v>
      </c>
      <c r="H629" s="1">
        <v>77281.0</v>
      </c>
      <c r="I629" s="3" t="s">
        <v>1942</v>
      </c>
    </row>
    <row r="630" ht="15.75" customHeight="1">
      <c r="A630" s="1" t="s">
        <v>1241</v>
      </c>
      <c r="B630" s="1" t="s">
        <v>4686</v>
      </c>
      <c r="C630" s="1" t="s">
        <v>4687</v>
      </c>
      <c r="D630" s="1" t="s">
        <v>4688</v>
      </c>
      <c r="E630" s="1" t="s">
        <v>4689</v>
      </c>
      <c r="F630" s="1" t="s">
        <v>4690</v>
      </c>
      <c r="G630" s="1" t="s">
        <v>1949</v>
      </c>
      <c r="H630" s="1" t="s">
        <v>2032</v>
      </c>
      <c r="I630" s="3" t="s">
        <v>1942</v>
      </c>
    </row>
    <row r="631" ht="15.75" customHeight="1">
      <c r="A631" s="1" t="s">
        <v>1225</v>
      </c>
      <c r="B631" s="1" t="s">
        <v>4691</v>
      </c>
      <c r="C631" s="1" t="s">
        <v>4692</v>
      </c>
      <c r="D631" s="1"/>
      <c r="E631" s="1" t="s">
        <v>4693</v>
      </c>
      <c r="F631" s="1" t="s">
        <v>2191</v>
      </c>
      <c r="G631" s="1" t="s">
        <v>1941</v>
      </c>
      <c r="H631" s="1">
        <v>33345.0</v>
      </c>
      <c r="I631" s="3" t="s">
        <v>1951</v>
      </c>
    </row>
    <row r="632" ht="15.75" customHeight="1">
      <c r="A632" s="1" t="s">
        <v>4694</v>
      </c>
      <c r="B632" s="1" t="s">
        <v>4695</v>
      </c>
      <c r="C632" s="1" t="s">
        <v>4696</v>
      </c>
      <c r="D632" s="1" t="s">
        <v>4697</v>
      </c>
      <c r="E632" s="1" t="s">
        <v>4698</v>
      </c>
      <c r="F632" s="1" t="s">
        <v>3179</v>
      </c>
      <c r="G632" s="1" t="s">
        <v>1941</v>
      </c>
      <c r="H632" s="1">
        <v>76210.0</v>
      </c>
      <c r="I632" s="3" t="s">
        <v>1951</v>
      </c>
    </row>
    <row r="633" ht="15.75" customHeight="1">
      <c r="A633" s="1" t="s">
        <v>4699</v>
      </c>
      <c r="B633" s="1" t="s">
        <v>4700</v>
      </c>
      <c r="C633" s="1" t="s">
        <v>4701</v>
      </c>
      <c r="D633" s="1" t="s">
        <v>4702</v>
      </c>
      <c r="E633" s="1" t="s">
        <v>4703</v>
      </c>
      <c r="F633" s="1" t="s">
        <v>3967</v>
      </c>
      <c r="G633" s="1" t="s">
        <v>1949</v>
      </c>
      <c r="H633" s="1" t="s">
        <v>2771</v>
      </c>
      <c r="I633" s="3" t="s">
        <v>1942</v>
      </c>
    </row>
    <row r="634" ht="15.75" customHeight="1">
      <c r="A634" s="1" t="s">
        <v>1243</v>
      </c>
      <c r="B634" s="1" t="s">
        <v>4704</v>
      </c>
      <c r="C634" s="1" t="s">
        <v>4705</v>
      </c>
      <c r="D634" s="1" t="s">
        <v>4706</v>
      </c>
      <c r="E634" s="1" t="s">
        <v>4707</v>
      </c>
      <c r="F634" s="1" t="s">
        <v>1986</v>
      </c>
      <c r="G634" s="1" t="s">
        <v>1941</v>
      </c>
      <c r="H634" s="1">
        <v>90005.0</v>
      </c>
      <c r="I634" s="3" t="s">
        <v>1951</v>
      </c>
    </row>
    <row r="635" ht="15.75" customHeight="1">
      <c r="A635" s="1" t="s">
        <v>1245</v>
      </c>
      <c r="B635" s="1" t="s">
        <v>4708</v>
      </c>
      <c r="C635" s="1" t="s">
        <v>4709</v>
      </c>
      <c r="D635" s="1" t="s">
        <v>4710</v>
      </c>
      <c r="E635" s="1" t="s">
        <v>4711</v>
      </c>
      <c r="F635" s="1" t="s">
        <v>3004</v>
      </c>
      <c r="G635" s="1" t="s">
        <v>1941</v>
      </c>
      <c r="H635" s="1">
        <v>18706.0</v>
      </c>
      <c r="I635" s="3" t="s">
        <v>1951</v>
      </c>
    </row>
    <row r="636" ht="15.75" customHeight="1">
      <c r="A636" s="1" t="s">
        <v>1247</v>
      </c>
      <c r="B636" s="1" t="s">
        <v>4712</v>
      </c>
      <c r="C636" s="1" t="s">
        <v>4713</v>
      </c>
      <c r="D636" s="1" t="s">
        <v>4714</v>
      </c>
      <c r="E636" s="1" t="s">
        <v>4715</v>
      </c>
      <c r="F636" s="1" t="s">
        <v>3179</v>
      </c>
      <c r="G636" s="1" t="s">
        <v>1941</v>
      </c>
      <c r="H636" s="1">
        <v>76205.0</v>
      </c>
      <c r="I636" s="3" t="s">
        <v>1951</v>
      </c>
    </row>
    <row r="637" ht="15.75" customHeight="1">
      <c r="A637" s="1" t="s">
        <v>1249</v>
      </c>
      <c r="B637" s="1" t="s">
        <v>4716</v>
      </c>
      <c r="C637" s="1" t="s">
        <v>4717</v>
      </c>
      <c r="D637" s="1" t="s">
        <v>4718</v>
      </c>
      <c r="E637" s="1" t="s">
        <v>4719</v>
      </c>
      <c r="F637" s="1" t="s">
        <v>2957</v>
      </c>
      <c r="G637" s="1" t="s">
        <v>1941</v>
      </c>
      <c r="H637" s="1">
        <v>64082.0</v>
      </c>
      <c r="I637" s="3" t="s">
        <v>1942</v>
      </c>
    </row>
    <row r="638" ht="15.75" customHeight="1">
      <c r="A638" s="1" t="s">
        <v>1251</v>
      </c>
      <c r="B638" s="1" t="s">
        <v>4720</v>
      </c>
      <c r="C638" s="1" t="s">
        <v>4721</v>
      </c>
      <c r="D638" s="1" t="s">
        <v>4722</v>
      </c>
      <c r="E638" s="1" t="s">
        <v>4723</v>
      </c>
      <c r="F638" s="1" t="s">
        <v>2127</v>
      </c>
      <c r="G638" s="1" t="s">
        <v>1941</v>
      </c>
      <c r="H638" s="1">
        <v>72209.0</v>
      </c>
      <c r="I638" s="3" t="s">
        <v>1942</v>
      </c>
    </row>
    <row r="639" ht="15.75" customHeight="1">
      <c r="A639" s="1" t="s">
        <v>1253</v>
      </c>
      <c r="B639" s="1" t="s">
        <v>4724</v>
      </c>
      <c r="C639" s="1" t="s">
        <v>4725</v>
      </c>
      <c r="D639" s="1" t="s">
        <v>4726</v>
      </c>
      <c r="E639" s="1" t="s">
        <v>4727</v>
      </c>
      <c r="F639" s="1" t="s">
        <v>4728</v>
      </c>
      <c r="G639" s="1" t="s">
        <v>1949</v>
      </c>
      <c r="H639" s="1" t="s">
        <v>2831</v>
      </c>
      <c r="I639" s="3" t="s">
        <v>1942</v>
      </c>
    </row>
    <row r="640" ht="15.75" customHeight="1">
      <c r="A640" s="1" t="s">
        <v>1255</v>
      </c>
      <c r="B640" s="1" t="s">
        <v>4729</v>
      </c>
      <c r="C640" s="1"/>
      <c r="D640" s="1" t="s">
        <v>4730</v>
      </c>
      <c r="E640" s="1" t="s">
        <v>4731</v>
      </c>
      <c r="F640" s="1" t="s">
        <v>4416</v>
      </c>
      <c r="G640" s="1" t="s">
        <v>1949</v>
      </c>
      <c r="H640" s="1" t="s">
        <v>4417</v>
      </c>
      <c r="I640" s="3" t="s">
        <v>1942</v>
      </c>
    </row>
    <row r="641" ht="15.75" customHeight="1">
      <c r="A641" s="1" t="s">
        <v>1257</v>
      </c>
      <c r="B641" s="1" t="s">
        <v>4732</v>
      </c>
      <c r="C641" s="1" t="s">
        <v>4733</v>
      </c>
      <c r="D641" s="1" t="s">
        <v>4734</v>
      </c>
      <c r="E641" s="1" t="s">
        <v>4735</v>
      </c>
      <c r="F641" s="1" t="s">
        <v>3143</v>
      </c>
      <c r="G641" s="1" t="s">
        <v>1941</v>
      </c>
      <c r="H641" s="1">
        <v>16534.0</v>
      </c>
      <c r="I641" s="3" t="s">
        <v>1942</v>
      </c>
    </row>
    <row r="642" ht="15.75" customHeight="1">
      <c r="A642" s="1" t="s">
        <v>4736</v>
      </c>
      <c r="B642" s="1" t="s">
        <v>4737</v>
      </c>
      <c r="C642" s="1"/>
      <c r="D642" s="1" t="s">
        <v>4738</v>
      </c>
      <c r="E642" s="1" t="s">
        <v>4739</v>
      </c>
      <c r="F642" s="1" t="s">
        <v>3164</v>
      </c>
      <c r="G642" s="1" t="s">
        <v>2116</v>
      </c>
      <c r="H642" s="1" t="s">
        <v>3165</v>
      </c>
      <c r="I642" s="3" t="s">
        <v>1951</v>
      </c>
    </row>
    <row r="643" ht="15.75" customHeight="1">
      <c r="A643" s="1" t="s">
        <v>1261</v>
      </c>
      <c r="B643" s="1" t="s">
        <v>4740</v>
      </c>
      <c r="C643" s="1" t="s">
        <v>4741</v>
      </c>
      <c r="D643" s="1" t="s">
        <v>4742</v>
      </c>
      <c r="E643" s="1" t="s">
        <v>4743</v>
      </c>
      <c r="F643" s="1" t="s">
        <v>4595</v>
      </c>
      <c r="G643" s="1" t="s">
        <v>1941</v>
      </c>
      <c r="H643" s="1">
        <v>15255.0</v>
      </c>
      <c r="I643" s="3" t="s">
        <v>1942</v>
      </c>
    </row>
    <row r="644" ht="15.75" customHeight="1">
      <c r="A644" s="1" t="s">
        <v>1263</v>
      </c>
      <c r="B644" s="1" t="s">
        <v>4744</v>
      </c>
      <c r="C644" s="1" t="s">
        <v>4745</v>
      </c>
      <c r="D644" s="1" t="s">
        <v>4746</v>
      </c>
      <c r="E644" s="1" t="s">
        <v>4747</v>
      </c>
      <c r="F644" s="1" t="s">
        <v>4748</v>
      </c>
      <c r="G644" s="1" t="s">
        <v>2116</v>
      </c>
      <c r="H644" s="1" t="s">
        <v>4749</v>
      </c>
      <c r="I644" s="3" t="s">
        <v>1942</v>
      </c>
    </row>
    <row r="645" ht="15.75" customHeight="1">
      <c r="A645" s="1" t="s">
        <v>1265</v>
      </c>
      <c r="B645" s="1" t="s">
        <v>4750</v>
      </c>
      <c r="C645" s="1" t="s">
        <v>4751</v>
      </c>
      <c r="D645" s="1"/>
      <c r="E645" s="1" t="s">
        <v>4752</v>
      </c>
      <c r="F645" s="1" t="s">
        <v>2325</v>
      </c>
      <c r="G645" s="1" t="s">
        <v>1941</v>
      </c>
      <c r="H645" s="1">
        <v>75260.0</v>
      </c>
      <c r="I645" s="3" t="s">
        <v>1942</v>
      </c>
    </row>
    <row r="646" ht="15.75" customHeight="1">
      <c r="A646" s="1" t="s">
        <v>1267</v>
      </c>
      <c r="B646" s="1" t="s">
        <v>4753</v>
      </c>
      <c r="C646" s="1"/>
      <c r="D646" s="1" t="s">
        <v>4754</v>
      </c>
      <c r="E646" s="1" t="s">
        <v>4755</v>
      </c>
      <c r="F646" s="1" t="s">
        <v>3581</v>
      </c>
      <c r="G646" s="1" t="s">
        <v>1941</v>
      </c>
      <c r="H646" s="1">
        <v>33233.0</v>
      </c>
      <c r="I646" s="3" t="s">
        <v>1951</v>
      </c>
    </row>
    <row r="647" ht="15.75" customHeight="1">
      <c r="A647" s="1" t="s">
        <v>1269</v>
      </c>
      <c r="B647" s="1" t="s">
        <v>4756</v>
      </c>
      <c r="C647" s="1" t="s">
        <v>4757</v>
      </c>
      <c r="D647" s="1" t="s">
        <v>4758</v>
      </c>
      <c r="E647" s="1" t="s">
        <v>4759</v>
      </c>
      <c r="F647" s="1" t="s">
        <v>4760</v>
      </c>
      <c r="G647" s="1" t="s">
        <v>1941</v>
      </c>
      <c r="H647" s="1">
        <v>76905.0</v>
      </c>
      <c r="I647" s="3" t="s">
        <v>1942</v>
      </c>
    </row>
    <row r="648" ht="15.75" customHeight="1">
      <c r="A648" s="1" t="s">
        <v>1271</v>
      </c>
      <c r="B648" s="1" t="s">
        <v>4761</v>
      </c>
      <c r="C648" s="1" t="s">
        <v>4762</v>
      </c>
      <c r="D648" s="1" t="s">
        <v>4763</v>
      </c>
      <c r="E648" s="1" t="s">
        <v>4764</v>
      </c>
      <c r="F648" s="1" t="s">
        <v>2881</v>
      </c>
      <c r="G648" s="1" t="s">
        <v>1941</v>
      </c>
      <c r="H648" s="1">
        <v>12205.0</v>
      </c>
      <c r="I648" s="3" t="s">
        <v>1942</v>
      </c>
    </row>
    <row r="649" ht="15.75" customHeight="1">
      <c r="A649" s="1" t="s">
        <v>1273</v>
      </c>
      <c r="B649" s="1" t="s">
        <v>4765</v>
      </c>
      <c r="C649" s="1" t="s">
        <v>4766</v>
      </c>
      <c r="D649" s="1" t="s">
        <v>4767</v>
      </c>
      <c r="E649" s="1" t="s">
        <v>4768</v>
      </c>
      <c r="F649" s="1" t="s">
        <v>4769</v>
      </c>
      <c r="G649" s="1" t="s">
        <v>2116</v>
      </c>
      <c r="H649" s="1" t="s">
        <v>4770</v>
      </c>
      <c r="I649" s="3" t="s">
        <v>1942</v>
      </c>
    </row>
    <row r="650" ht="15.75" customHeight="1">
      <c r="A650" s="1" t="s">
        <v>1259</v>
      </c>
      <c r="B650" s="1" t="s">
        <v>4771</v>
      </c>
      <c r="C650" s="1" t="s">
        <v>4772</v>
      </c>
      <c r="D650" s="1" t="s">
        <v>4773</v>
      </c>
      <c r="E650" s="1" t="s">
        <v>4774</v>
      </c>
      <c r="F650" s="1" t="s">
        <v>2287</v>
      </c>
      <c r="G650" s="1" t="s">
        <v>1941</v>
      </c>
      <c r="H650" s="1">
        <v>43240.0</v>
      </c>
      <c r="I650" s="3" t="s">
        <v>1951</v>
      </c>
    </row>
    <row r="651" ht="15.75" customHeight="1">
      <c r="A651" s="1" t="s">
        <v>1276</v>
      </c>
      <c r="B651" s="1" t="s">
        <v>4775</v>
      </c>
      <c r="C651" s="1" t="s">
        <v>4776</v>
      </c>
      <c r="D651" s="1" t="s">
        <v>4777</v>
      </c>
      <c r="E651" s="1" t="s">
        <v>4778</v>
      </c>
      <c r="F651" s="1" t="s">
        <v>4779</v>
      </c>
      <c r="G651" s="1" t="s">
        <v>2116</v>
      </c>
      <c r="H651" s="1" t="s">
        <v>4780</v>
      </c>
      <c r="I651" s="3" t="s">
        <v>1951</v>
      </c>
    </row>
    <row r="652" ht="15.75" customHeight="1">
      <c r="A652" s="1" t="s">
        <v>1278</v>
      </c>
      <c r="B652" s="1" t="s">
        <v>4781</v>
      </c>
      <c r="C652" s="1" t="s">
        <v>4782</v>
      </c>
      <c r="D652" s="1" t="s">
        <v>4783</v>
      </c>
      <c r="E652" s="1" t="s">
        <v>4784</v>
      </c>
      <c r="F652" s="1" t="s">
        <v>2383</v>
      </c>
      <c r="G652" s="1" t="s">
        <v>1941</v>
      </c>
      <c r="H652" s="1">
        <v>92883.0</v>
      </c>
      <c r="I652" s="3" t="s">
        <v>1942</v>
      </c>
    </row>
    <row r="653" ht="15.75" customHeight="1">
      <c r="A653" s="1" t="s">
        <v>1280</v>
      </c>
      <c r="B653" s="1" t="s">
        <v>4785</v>
      </c>
      <c r="C653" s="1"/>
      <c r="D653" s="1" t="s">
        <v>4786</v>
      </c>
      <c r="E653" s="1" t="s">
        <v>4787</v>
      </c>
      <c r="F653" s="1" t="s">
        <v>2186</v>
      </c>
      <c r="G653" s="1" t="s">
        <v>1941</v>
      </c>
      <c r="H653" s="1">
        <v>20436.0</v>
      </c>
      <c r="I653" s="3" t="s">
        <v>1951</v>
      </c>
    </row>
    <row r="654" ht="15.75" customHeight="1">
      <c r="A654" s="1" t="s">
        <v>1282</v>
      </c>
      <c r="B654" s="1" t="s">
        <v>4788</v>
      </c>
      <c r="C654" s="1" t="s">
        <v>4789</v>
      </c>
      <c r="D654" s="1"/>
      <c r="E654" s="1" t="s">
        <v>4790</v>
      </c>
      <c r="F654" s="1" t="s">
        <v>4791</v>
      </c>
      <c r="G654" s="1" t="s">
        <v>1949</v>
      </c>
      <c r="H654" s="1" t="s">
        <v>1950</v>
      </c>
      <c r="I654" s="3" t="s">
        <v>1951</v>
      </c>
    </row>
    <row r="655" ht="15.75" customHeight="1">
      <c r="A655" s="1" t="s">
        <v>1284</v>
      </c>
      <c r="B655" s="1" t="s">
        <v>4792</v>
      </c>
      <c r="C655" s="1" t="s">
        <v>4793</v>
      </c>
      <c r="D655" s="1" t="s">
        <v>4794</v>
      </c>
      <c r="E655" s="1" t="s">
        <v>4795</v>
      </c>
      <c r="F655" s="1" t="s">
        <v>2211</v>
      </c>
      <c r="G655" s="1" t="s">
        <v>1941</v>
      </c>
      <c r="H655" s="1">
        <v>43610.0</v>
      </c>
      <c r="I655" s="3" t="s">
        <v>1951</v>
      </c>
    </row>
    <row r="656" ht="15.75" customHeight="1">
      <c r="A656" s="1" t="s">
        <v>1286</v>
      </c>
      <c r="B656" s="1" t="s">
        <v>4796</v>
      </c>
      <c r="C656" s="1" t="s">
        <v>4797</v>
      </c>
      <c r="D656" s="1" t="s">
        <v>4798</v>
      </c>
      <c r="E656" s="1" t="s">
        <v>4799</v>
      </c>
      <c r="F656" s="1" t="s">
        <v>2186</v>
      </c>
      <c r="G656" s="1" t="s">
        <v>1941</v>
      </c>
      <c r="H656" s="1">
        <v>20088.0</v>
      </c>
      <c r="I656" s="3" t="s">
        <v>1951</v>
      </c>
    </row>
    <row r="657" ht="15.75" customHeight="1">
      <c r="A657" s="1" t="s">
        <v>1288</v>
      </c>
      <c r="B657" s="1" t="s">
        <v>4800</v>
      </c>
      <c r="C657" s="1" t="s">
        <v>4801</v>
      </c>
      <c r="D657" s="1"/>
      <c r="E657" s="1" t="s">
        <v>4802</v>
      </c>
      <c r="F657" s="1" t="s">
        <v>4803</v>
      </c>
      <c r="G657" s="1" t="s">
        <v>1941</v>
      </c>
      <c r="H657" s="1">
        <v>52405.0</v>
      </c>
      <c r="I657" s="3" t="s">
        <v>1942</v>
      </c>
    </row>
    <row r="658" ht="15.75" customHeight="1">
      <c r="A658" s="1" t="s">
        <v>1290</v>
      </c>
      <c r="B658" s="1" t="s">
        <v>4804</v>
      </c>
      <c r="C658" s="1" t="s">
        <v>4805</v>
      </c>
      <c r="D658" s="1"/>
      <c r="E658" s="1" t="s">
        <v>4806</v>
      </c>
      <c r="F658" s="1" t="s">
        <v>2093</v>
      </c>
      <c r="G658" s="1" t="s">
        <v>1941</v>
      </c>
      <c r="H658" s="1">
        <v>80045.0</v>
      </c>
      <c r="I658" s="3" t="s">
        <v>1951</v>
      </c>
    </row>
    <row r="659" ht="15.75" customHeight="1">
      <c r="A659" s="1" t="s">
        <v>1292</v>
      </c>
      <c r="B659" s="1" t="s">
        <v>4807</v>
      </c>
      <c r="C659" s="1" t="s">
        <v>4808</v>
      </c>
      <c r="D659" s="1" t="s">
        <v>4809</v>
      </c>
      <c r="E659" s="1" t="s">
        <v>4810</v>
      </c>
      <c r="F659" s="1" t="s">
        <v>4811</v>
      </c>
      <c r="G659" s="1" t="s">
        <v>1941</v>
      </c>
      <c r="H659" s="1">
        <v>94089.0</v>
      </c>
      <c r="I659" s="3" t="s">
        <v>1942</v>
      </c>
    </row>
    <row r="660" ht="15.75" customHeight="1">
      <c r="A660" s="1" t="s">
        <v>4812</v>
      </c>
      <c r="B660" s="1" t="s">
        <v>4813</v>
      </c>
      <c r="C660" s="1"/>
      <c r="D660" s="1"/>
      <c r="E660" s="1" t="s">
        <v>4814</v>
      </c>
      <c r="F660" s="1" t="s">
        <v>4355</v>
      </c>
      <c r="G660" s="1" t="s">
        <v>1949</v>
      </c>
      <c r="H660" s="1" t="s">
        <v>4356</v>
      </c>
      <c r="I660" s="3" t="s">
        <v>1942</v>
      </c>
    </row>
    <row r="661" ht="15.75" customHeight="1">
      <c r="A661" s="1" t="s">
        <v>1296</v>
      </c>
      <c r="B661" s="1" t="s">
        <v>4815</v>
      </c>
      <c r="C661" s="1" t="s">
        <v>4816</v>
      </c>
      <c r="D661" s="1" t="s">
        <v>4817</v>
      </c>
      <c r="E661" s="1" t="s">
        <v>4818</v>
      </c>
      <c r="F661" s="1" t="s">
        <v>4819</v>
      </c>
      <c r="G661" s="1" t="s">
        <v>1949</v>
      </c>
      <c r="H661" s="1" t="s">
        <v>4417</v>
      </c>
      <c r="I661" s="3" t="s">
        <v>1942</v>
      </c>
    </row>
    <row r="662" ht="15.75" customHeight="1">
      <c r="A662" s="1" t="s">
        <v>1298</v>
      </c>
      <c r="B662" s="1" t="s">
        <v>4820</v>
      </c>
      <c r="C662" s="1" t="s">
        <v>4821</v>
      </c>
      <c r="D662" s="1" t="s">
        <v>4822</v>
      </c>
      <c r="E662" s="1" t="s">
        <v>4823</v>
      </c>
      <c r="F662" s="1" t="s">
        <v>2800</v>
      </c>
      <c r="G662" s="1" t="s">
        <v>1941</v>
      </c>
      <c r="H662" s="1">
        <v>48930.0</v>
      </c>
      <c r="I662" s="3" t="s">
        <v>1951</v>
      </c>
    </row>
    <row r="663" ht="15.75" customHeight="1">
      <c r="A663" s="1" t="s">
        <v>1300</v>
      </c>
      <c r="B663" s="1" t="s">
        <v>4824</v>
      </c>
      <c r="C663" s="1" t="s">
        <v>4825</v>
      </c>
      <c r="D663" s="1" t="s">
        <v>4826</v>
      </c>
      <c r="E663" s="1" t="s">
        <v>4827</v>
      </c>
      <c r="F663" s="1" t="s">
        <v>2027</v>
      </c>
      <c r="G663" s="1" t="s">
        <v>1941</v>
      </c>
      <c r="H663" s="1">
        <v>77281.0</v>
      </c>
      <c r="I663" s="3" t="s">
        <v>1942</v>
      </c>
    </row>
    <row r="664" ht="15.75" customHeight="1">
      <c r="A664" s="1" t="s">
        <v>1302</v>
      </c>
      <c r="B664" s="1" t="s">
        <v>4828</v>
      </c>
      <c r="C664" s="1" t="s">
        <v>4829</v>
      </c>
      <c r="D664" s="1"/>
      <c r="E664" s="1" t="s">
        <v>4830</v>
      </c>
      <c r="F664" s="1" t="s">
        <v>4831</v>
      </c>
      <c r="G664" s="1" t="s">
        <v>1941</v>
      </c>
      <c r="H664" s="1">
        <v>37131.0</v>
      </c>
      <c r="I664" s="3" t="s">
        <v>1951</v>
      </c>
    </row>
    <row r="665" ht="15.75" customHeight="1">
      <c r="A665" s="1" t="s">
        <v>1304</v>
      </c>
      <c r="B665" s="1" t="s">
        <v>4832</v>
      </c>
      <c r="C665" s="1" t="s">
        <v>4833</v>
      </c>
      <c r="D665" s="1"/>
      <c r="E665" s="1" t="s">
        <v>4834</v>
      </c>
      <c r="F665" s="1" t="s">
        <v>2122</v>
      </c>
      <c r="G665" s="1" t="s">
        <v>1941</v>
      </c>
      <c r="H665" s="1">
        <v>25362.0</v>
      </c>
      <c r="I665" s="3" t="s">
        <v>1951</v>
      </c>
    </row>
    <row r="666" ht="15.75" customHeight="1">
      <c r="A666" s="1" t="s">
        <v>1306</v>
      </c>
      <c r="B666" s="1" t="s">
        <v>4835</v>
      </c>
      <c r="C666" s="1" t="s">
        <v>4836</v>
      </c>
      <c r="D666" s="1" t="s">
        <v>4837</v>
      </c>
      <c r="E666" s="1" t="s">
        <v>4838</v>
      </c>
      <c r="F666" s="1" t="s">
        <v>3143</v>
      </c>
      <c r="G666" s="1" t="s">
        <v>1941</v>
      </c>
      <c r="H666" s="1">
        <v>16534.0</v>
      </c>
      <c r="I666" s="3" t="s">
        <v>1951</v>
      </c>
    </row>
    <row r="667" ht="15.75" customHeight="1">
      <c r="A667" s="1" t="s">
        <v>4839</v>
      </c>
      <c r="B667" s="1" t="s">
        <v>4840</v>
      </c>
      <c r="C667" s="1" t="s">
        <v>4841</v>
      </c>
      <c r="D667" s="1" t="s">
        <v>4842</v>
      </c>
      <c r="E667" s="1" t="s">
        <v>4843</v>
      </c>
      <c r="F667" s="1" t="s">
        <v>3858</v>
      </c>
      <c r="G667" s="1" t="s">
        <v>1941</v>
      </c>
      <c r="H667" s="1">
        <v>39204.0</v>
      </c>
      <c r="I667" s="3" t="s">
        <v>1942</v>
      </c>
    </row>
    <row r="668" ht="15.75" customHeight="1">
      <c r="A668" s="1" t="s">
        <v>1308</v>
      </c>
      <c r="B668" s="1" t="s">
        <v>4844</v>
      </c>
      <c r="C668" s="1" t="s">
        <v>4845</v>
      </c>
      <c r="D668" s="1" t="s">
        <v>4846</v>
      </c>
      <c r="E668" s="1" t="s">
        <v>4847</v>
      </c>
      <c r="F668" s="1" t="s">
        <v>2901</v>
      </c>
      <c r="G668" s="1" t="s">
        <v>1941</v>
      </c>
      <c r="H668" s="1">
        <v>79491.0</v>
      </c>
      <c r="I668" s="3" t="s">
        <v>1951</v>
      </c>
    </row>
    <row r="669" ht="15.75" customHeight="1">
      <c r="A669" s="1" t="s">
        <v>1310</v>
      </c>
      <c r="B669" s="1" t="s">
        <v>4848</v>
      </c>
      <c r="C669" s="1" t="s">
        <v>4849</v>
      </c>
      <c r="D669" s="1" t="s">
        <v>4850</v>
      </c>
      <c r="E669" s="1" t="s">
        <v>4851</v>
      </c>
      <c r="F669" s="1" t="s">
        <v>4852</v>
      </c>
      <c r="G669" s="1" t="s">
        <v>1949</v>
      </c>
      <c r="H669" s="1" t="s">
        <v>2089</v>
      </c>
      <c r="I669" s="3" t="s">
        <v>1951</v>
      </c>
    </row>
    <row r="670" ht="15.75" customHeight="1">
      <c r="A670" s="1" t="s">
        <v>1294</v>
      </c>
      <c r="B670" s="1" t="s">
        <v>4853</v>
      </c>
      <c r="C670" s="1" t="s">
        <v>4854</v>
      </c>
      <c r="D670" s="1" t="s">
        <v>4855</v>
      </c>
      <c r="E670" s="1" t="s">
        <v>4856</v>
      </c>
      <c r="F670" s="1" t="s">
        <v>4481</v>
      </c>
      <c r="G670" s="1" t="s">
        <v>1941</v>
      </c>
      <c r="H670" s="1">
        <v>27717.0</v>
      </c>
      <c r="I670" s="3" t="s">
        <v>1942</v>
      </c>
    </row>
    <row r="671" ht="15.75" customHeight="1">
      <c r="A671" s="1" t="s">
        <v>1313</v>
      </c>
      <c r="B671" s="1" t="s">
        <v>4857</v>
      </c>
      <c r="C671" s="1" t="s">
        <v>4858</v>
      </c>
      <c r="D671" s="1" t="s">
        <v>4859</v>
      </c>
      <c r="E671" s="1" t="s">
        <v>4860</v>
      </c>
      <c r="F671" s="1" t="s">
        <v>4861</v>
      </c>
      <c r="G671" s="1" t="s">
        <v>1941</v>
      </c>
      <c r="H671" s="1">
        <v>29505.0</v>
      </c>
      <c r="I671" s="3" t="s">
        <v>1951</v>
      </c>
    </row>
    <row r="672" ht="15.75" customHeight="1">
      <c r="A672" s="1" t="s">
        <v>1315</v>
      </c>
      <c r="B672" s="1" t="s">
        <v>4862</v>
      </c>
      <c r="C672" s="1" t="s">
        <v>4863</v>
      </c>
      <c r="D672" s="1" t="s">
        <v>4864</v>
      </c>
      <c r="E672" s="1" t="s">
        <v>4865</v>
      </c>
      <c r="F672" s="1" t="s">
        <v>4866</v>
      </c>
      <c r="G672" s="1" t="s">
        <v>1941</v>
      </c>
      <c r="H672" s="1">
        <v>13205.0</v>
      </c>
      <c r="I672" s="3" t="s">
        <v>1942</v>
      </c>
    </row>
    <row r="673" ht="15.75" customHeight="1">
      <c r="A673" s="1" t="s">
        <v>1317</v>
      </c>
      <c r="B673" s="1" t="s">
        <v>4867</v>
      </c>
      <c r="C673" s="1" t="s">
        <v>4868</v>
      </c>
      <c r="D673" s="1" t="s">
        <v>4869</v>
      </c>
      <c r="E673" s="1" t="s">
        <v>4870</v>
      </c>
      <c r="F673" s="1" t="s">
        <v>3682</v>
      </c>
      <c r="G673" s="1" t="s">
        <v>1941</v>
      </c>
      <c r="H673" s="1">
        <v>30245.0</v>
      </c>
      <c r="I673" s="3" t="s">
        <v>1951</v>
      </c>
    </row>
    <row r="674" ht="15.75" customHeight="1">
      <c r="A674" s="1" t="s">
        <v>1319</v>
      </c>
      <c r="B674" s="1" t="s">
        <v>4871</v>
      </c>
      <c r="C674" s="1" t="s">
        <v>4872</v>
      </c>
      <c r="D674" s="1"/>
      <c r="E674" s="1" t="s">
        <v>4873</v>
      </c>
      <c r="F674" s="1" t="s">
        <v>2027</v>
      </c>
      <c r="G674" s="1" t="s">
        <v>1941</v>
      </c>
      <c r="H674" s="1">
        <v>77070.0</v>
      </c>
      <c r="I674" s="3" t="s">
        <v>1942</v>
      </c>
    </row>
    <row r="675" ht="15.75" customHeight="1">
      <c r="A675" s="1" t="s">
        <v>1321</v>
      </c>
      <c r="B675" s="1" t="s">
        <v>4874</v>
      </c>
      <c r="C675" s="1" t="s">
        <v>4875</v>
      </c>
      <c r="D675" s="1" t="s">
        <v>4876</v>
      </c>
      <c r="E675" s="1" t="s">
        <v>4877</v>
      </c>
      <c r="F675" s="1" t="s">
        <v>2375</v>
      </c>
      <c r="G675" s="1" t="s">
        <v>1941</v>
      </c>
      <c r="H675" s="1">
        <v>66160.0</v>
      </c>
      <c r="I675" s="3" t="s">
        <v>1942</v>
      </c>
    </row>
    <row r="676" ht="15.75" customHeight="1">
      <c r="A676" s="1" t="s">
        <v>1323</v>
      </c>
      <c r="B676" s="1" t="s">
        <v>4878</v>
      </c>
      <c r="C676" s="1" t="s">
        <v>4879</v>
      </c>
      <c r="D676" s="1" t="s">
        <v>4880</v>
      </c>
      <c r="E676" s="1" t="s">
        <v>4881</v>
      </c>
      <c r="F676" s="1" t="s">
        <v>4882</v>
      </c>
      <c r="G676" s="1" t="s">
        <v>1941</v>
      </c>
      <c r="H676" s="1">
        <v>34282.0</v>
      </c>
      <c r="I676" s="3" t="s">
        <v>1942</v>
      </c>
    </row>
    <row r="677" ht="15.75" customHeight="1">
      <c r="A677" s="1" t="s">
        <v>1325</v>
      </c>
      <c r="B677" s="1" t="s">
        <v>4883</v>
      </c>
      <c r="C677" s="1"/>
      <c r="D677" s="1" t="s">
        <v>4884</v>
      </c>
      <c r="E677" s="1" t="s">
        <v>4885</v>
      </c>
      <c r="F677" s="1" t="s">
        <v>4886</v>
      </c>
      <c r="G677" s="1" t="s">
        <v>1941</v>
      </c>
      <c r="H677" s="1">
        <v>18105.0</v>
      </c>
      <c r="I677" s="3" t="s">
        <v>1942</v>
      </c>
    </row>
    <row r="678" ht="15.75" customHeight="1">
      <c r="A678" s="1" t="s">
        <v>1327</v>
      </c>
      <c r="B678" s="1" t="s">
        <v>4887</v>
      </c>
      <c r="C678" s="1"/>
      <c r="D678" s="1" t="s">
        <v>4888</v>
      </c>
      <c r="E678" s="1" t="s">
        <v>4889</v>
      </c>
      <c r="F678" s="1" t="s">
        <v>4890</v>
      </c>
      <c r="G678" s="1" t="s">
        <v>1941</v>
      </c>
      <c r="H678" s="1">
        <v>23663.0</v>
      </c>
      <c r="I678" s="3" t="s">
        <v>1951</v>
      </c>
    </row>
    <row r="679" ht="15.75" customHeight="1">
      <c r="A679" s="1" t="s">
        <v>1329</v>
      </c>
      <c r="B679" s="1" t="s">
        <v>4891</v>
      </c>
      <c r="C679" s="1" t="s">
        <v>4892</v>
      </c>
      <c r="D679" s="1" t="s">
        <v>4893</v>
      </c>
      <c r="E679" s="1" t="s">
        <v>4894</v>
      </c>
      <c r="F679" s="1" t="s">
        <v>3749</v>
      </c>
      <c r="G679" s="1" t="s">
        <v>1949</v>
      </c>
      <c r="H679" s="1" t="s">
        <v>3750</v>
      </c>
      <c r="I679" s="3" t="s">
        <v>1951</v>
      </c>
    </row>
    <row r="680" ht="15.75" customHeight="1">
      <c r="A680" s="1" t="s">
        <v>1331</v>
      </c>
      <c r="B680" s="1" t="s">
        <v>4895</v>
      </c>
      <c r="C680" s="1" t="s">
        <v>4896</v>
      </c>
      <c r="D680" s="1" t="s">
        <v>4897</v>
      </c>
      <c r="E680" s="1" t="s">
        <v>4898</v>
      </c>
      <c r="F680" s="1" t="s">
        <v>4899</v>
      </c>
      <c r="G680" s="1" t="s">
        <v>1941</v>
      </c>
      <c r="H680" s="1">
        <v>67260.0</v>
      </c>
      <c r="I680" s="3" t="s">
        <v>1942</v>
      </c>
    </row>
    <row r="681" ht="15.75" customHeight="1">
      <c r="A681" s="1" t="s">
        <v>1333</v>
      </c>
      <c r="B681" s="1" t="s">
        <v>4900</v>
      </c>
      <c r="C681" s="1" t="s">
        <v>4901</v>
      </c>
      <c r="D681" s="1" t="s">
        <v>4902</v>
      </c>
      <c r="E681" s="1" t="s">
        <v>4903</v>
      </c>
      <c r="F681" s="1" t="s">
        <v>4769</v>
      </c>
      <c r="G681" s="1" t="s">
        <v>2116</v>
      </c>
      <c r="H681" s="1" t="s">
        <v>4770</v>
      </c>
      <c r="I681" s="3" t="s">
        <v>1951</v>
      </c>
    </row>
    <row r="682" ht="15.75" customHeight="1">
      <c r="A682" s="1" t="s">
        <v>1335</v>
      </c>
      <c r="B682" s="1" t="s">
        <v>4904</v>
      </c>
      <c r="C682" s="1" t="s">
        <v>4905</v>
      </c>
      <c r="D682" s="1"/>
      <c r="E682" s="1" t="s">
        <v>4906</v>
      </c>
      <c r="F682" s="1" t="s">
        <v>3283</v>
      </c>
      <c r="G682" s="1" t="s">
        <v>1941</v>
      </c>
      <c r="H682" s="1">
        <v>6816.0</v>
      </c>
      <c r="I682" s="3" t="s">
        <v>1951</v>
      </c>
    </row>
    <row r="683" ht="15.75" customHeight="1">
      <c r="A683" s="1" t="s">
        <v>1337</v>
      </c>
      <c r="B683" s="1" t="s">
        <v>4907</v>
      </c>
      <c r="C683" s="1" t="s">
        <v>4908</v>
      </c>
      <c r="D683" s="1" t="s">
        <v>4909</v>
      </c>
      <c r="E683" s="1" t="s">
        <v>4910</v>
      </c>
      <c r="F683" s="1" t="s">
        <v>2199</v>
      </c>
      <c r="G683" s="1" t="s">
        <v>2116</v>
      </c>
      <c r="H683" s="1" t="s">
        <v>2200</v>
      </c>
      <c r="I683" s="3" t="s">
        <v>1942</v>
      </c>
    </row>
    <row r="684" ht="15.75" customHeight="1">
      <c r="A684" s="1" t="s">
        <v>1339</v>
      </c>
      <c r="B684" s="1" t="s">
        <v>4911</v>
      </c>
      <c r="C684" s="1" t="s">
        <v>4912</v>
      </c>
      <c r="D684" s="1" t="s">
        <v>4913</v>
      </c>
      <c r="E684" s="1" t="s">
        <v>4914</v>
      </c>
      <c r="F684" s="1" t="s">
        <v>3488</v>
      </c>
      <c r="G684" s="1" t="s">
        <v>1941</v>
      </c>
      <c r="H684" s="1">
        <v>32209.0</v>
      </c>
      <c r="I684" s="3" t="s">
        <v>1942</v>
      </c>
    </row>
    <row r="685" ht="15.75" customHeight="1">
      <c r="A685" s="1" t="s">
        <v>1341</v>
      </c>
      <c r="B685" s="1" t="s">
        <v>4915</v>
      </c>
      <c r="C685" s="1" t="s">
        <v>4916</v>
      </c>
      <c r="D685" s="1" t="s">
        <v>4917</v>
      </c>
      <c r="E685" s="1" t="s">
        <v>4918</v>
      </c>
      <c r="F685" s="1" t="s">
        <v>2027</v>
      </c>
      <c r="G685" s="1" t="s">
        <v>1941</v>
      </c>
      <c r="H685" s="1">
        <v>77299.0</v>
      </c>
      <c r="I685" s="3" t="s">
        <v>1951</v>
      </c>
    </row>
    <row r="686" ht="15.75" customHeight="1">
      <c r="A686" s="1" t="s">
        <v>1343</v>
      </c>
      <c r="B686" s="1" t="s">
        <v>4919</v>
      </c>
      <c r="C686" s="1"/>
      <c r="D686" s="1" t="s">
        <v>4920</v>
      </c>
      <c r="E686" s="1" t="s">
        <v>4921</v>
      </c>
      <c r="F686" s="1" t="s">
        <v>2022</v>
      </c>
      <c r="G686" s="1" t="s">
        <v>1941</v>
      </c>
      <c r="H686" s="1">
        <v>97255.0</v>
      </c>
      <c r="I686" s="3" t="s">
        <v>1951</v>
      </c>
    </row>
    <row r="687" ht="15.75" customHeight="1">
      <c r="A687" s="1" t="s">
        <v>1345</v>
      </c>
      <c r="B687" s="1" t="s">
        <v>4922</v>
      </c>
      <c r="C687" s="1" t="s">
        <v>4923</v>
      </c>
      <c r="D687" s="1" t="s">
        <v>4924</v>
      </c>
      <c r="E687" s="1" t="s">
        <v>4925</v>
      </c>
      <c r="F687" s="1" t="s">
        <v>2947</v>
      </c>
      <c r="G687" s="1" t="s">
        <v>1941</v>
      </c>
      <c r="H687" s="1">
        <v>91186.0</v>
      </c>
      <c r="I687" s="3" t="s">
        <v>1942</v>
      </c>
    </row>
    <row r="688" ht="15.75" customHeight="1">
      <c r="A688" s="1" t="s">
        <v>1347</v>
      </c>
      <c r="B688" s="1" t="s">
        <v>4926</v>
      </c>
      <c r="C688" s="1" t="s">
        <v>4927</v>
      </c>
      <c r="D688" s="1" t="s">
        <v>4928</v>
      </c>
      <c r="E688" s="1" t="s">
        <v>4929</v>
      </c>
      <c r="F688" s="1" t="s">
        <v>2572</v>
      </c>
      <c r="G688" s="1" t="s">
        <v>1941</v>
      </c>
      <c r="H688" s="1">
        <v>92725.0</v>
      </c>
      <c r="I688" s="3" t="s">
        <v>1942</v>
      </c>
    </row>
    <row r="689" ht="15.75" customHeight="1">
      <c r="A689" s="1" t="s">
        <v>1349</v>
      </c>
      <c r="B689" s="1" t="s">
        <v>4930</v>
      </c>
      <c r="C689" s="1" t="s">
        <v>4931</v>
      </c>
      <c r="D689" s="1" t="s">
        <v>4932</v>
      </c>
      <c r="E689" s="1" t="s">
        <v>4933</v>
      </c>
      <c r="F689" s="1" t="s">
        <v>1995</v>
      </c>
      <c r="G689" s="1" t="s">
        <v>1941</v>
      </c>
      <c r="H689" s="1">
        <v>95160.0</v>
      </c>
      <c r="I689" s="3" t="s">
        <v>1951</v>
      </c>
    </row>
    <row r="690" ht="15.75" customHeight="1">
      <c r="A690" s="1" t="s">
        <v>1351</v>
      </c>
      <c r="B690" s="1" t="s">
        <v>4934</v>
      </c>
      <c r="C690" s="1" t="s">
        <v>4935</v>
      </c>
      <c r="D690" s="1" t="s">
        <v>4936</v>
      </c>
      <c r="E690" s="1" t="s">
        <v>4937</v>
      </c>
      <c r="F690" s="1" t="s">
        <v>4938</v>
      </c>
      <c r="G690" s="1" t="s">
        <v>1949</v>
      </c>
      <c r="H690" s="1" t="s">
        <v>2043</v>
      </c>
      <c r="I690" s="3" t="s">
        <v>1951</v>
      </c>
    </row>
    <row r="691" ht="15.75" customHeight="1">
      <c r="A691" s="1" t="s">
        <v>1353</v>
      </c>
      <c r="B691" s="1" t="s">
        <v>4939</v>
      </c>
      <c r="C691" s="1" t="s">
        <v>4940</v>
      </c>
      <c r="D691" s="1" t="s">
        <v>4941</v>
      </c>
      <c r="E691" s="1" t="s">
        <v>4942</v>
      </c>
      <c r="F691" s="1" t="s">
        <v>2340</v>
      </c>
      <c r="G691" s="1" t="s">
        <v>1941</v>
      </c>
      <c r="H691" s="1">
        <v>80935.0</v>
      </c>
      <c r="I691" s="3" t="s">
        <v>1951</v>
      </c>
    </row>
    <row r="692" ht="15.75" customHeight="1">
      <c r="A692" s="1" t="s">
        <v>1355</v>
      </c>
      <c r="B692" s="1" t="s">
        <v>4943</v>
      </c>
      <c r="C692" s="1"/>
      <c r="D692" s="1"/>
      <c r="E692" s="1" t="s">
        <v>4944</v>
      </c>
      <c r="F692" s="1" t="s">
        <v>2211</v>
      </c>
      <c r="G692" s="1" t="s">
        <v>1941</v>
      </c>
      <c r="H692" s="1">
        <v>43605.0</v>
      </c>
      <c r="I692" s="3" t="s">
        <v>1951</v>
      </c>
    </row>
    <row r="693" ht="15.75" customHeight="1">
      <c r="A693" s="1" t="s">
        <v>4945</v>
      </c>
      <c r="B693" s="1" t="s">
        <v>4946</v>
      </c>
      <c r="C693" s="1" t="s">
        <v>4947</v>
      </c>
      <c r="D693" s="1" t="s">
        <v>4948</v>
      </c>
      <c r="E693" s="1" t="s">
        <v>4949</v>
      </c>
      <c r="F693" s="1" t="s">
        <v>3442</v>
      </c>
      <c r="G693" s="1" t="s">
        <v>1941</v>
      </c>
      <c r="H693" s="1">
        <v>33436.0</v>
      </c>
      <c r="I693" s="3" t="s">
        <v>1942</v>
      </c>
    </row>
    <row r="694" ht="15.75" customHeight="1">
      <c r="A694" s="1" t="s">
        <v>1359</v>
      </c>
      <c r="B694" s="1" t="s">
        <v>4950</v>
      </c>
      <c r="C694" s="1" t="s">
        <v>4951</v>
      </c>
      <c r="D694" s="1" t="s">
        <v>4952</v>
      </c>
      <c r="E694" s="1" t="s">
        <v>4953</v>
      </c>
      <c r="F694" s="1" t="s">
        <v>3037</v>
      </c>
      <c r="G694" s="1" t="s">
        <v>1941</v>
      </c>
      <c r="H694" s="1">
        <v>45999.0</v>
      </c>
      <c r="I694" s="3" t="s">
        <v>1951</v>
      </c>
    </row>
    <row r="695" ht="15.75" customHeight="1">
      <c r="A695" s="1" t="s">
        <v>1361</v>
      </c>
      <c r="B695" s="1" t="s">
        <v>4954</v>
      </c>
      <c r="C695" s="1" t="s">
        <v>4955</v>
      </c>
      <c r="D695" s="1" t="s">
        <v>4956</v>
      </c>
      <c r="E695" s="1" t="s">
        <v>4957</v>
      </c>
      <c r="F695" s="1" t="s">
        <v>2013</v>
      </c>
      <c r="G695" s="1" t="s">
        <v>1941</v>
      </c>
      <c r="H695" s="1">
        <v>63121.0</v>
      </c>
      <c r="I695" s="3" t="s">
        <v>1942</v>
      </c>
    </row>
    <row r="696" ht="15.75" customHeight="1">
      <c r="A696" s="1" t="s">
        <v>1363</v>
      </c>
      <c r="B696" s="1" t="s">
        <v>4958</v>
      </c>
      <c r="C696" s="1" t="s">
        <v>4959</v>
      </c>
      <c r="D696" s="1" t="s">
        <v>4960</v>
      </c>
      <c r="E696" s="1" t="s">
        <v>4961</v>
      </c>
      <c r="F696" s="1" t="s">
        <v>4962</v>
      </c>
      <c r="G696" s="1" t="s">
        <v>1941</v>
      </c>
      <c r="H696" s="1">
        <v>10705.0</v>
      </c>
      <c r="I696" s="3" t="s">
        <v>1951</v>
      </c>
    </row>
    <row r="697" ht="15.75" customHeight="1">
      <c r="A697" s="1" t="s">
        <v>1365</v>
      </c>
      <c r="B697" s="1" t="s">
        <v>4963</v>
      </c>
      <c r="C697" s="1" t="s">
        <v>4964</v>
      </c>
      <c r="D697" s="1" t="s">
        <v>4965</v>
      </c>
      <c r="E697" s="1" t="s">
        <v>4966</v>
      </c>
      <c r="F697" s="1" t="s">
        <v>3316</v>
      </c>
      <c r="G697" s="1" t="s">
        <v>1941</v>
      </c>
      <c r="H697" s="1">
        <v>21290.0</v>
      </c>
      <c r="I697" s="3" t="s">
        <v>1942</v>
      </c>
    </row>
    <row r="698" ht="15.75" customHeight="1">
      <c r="A698" s="1" t="s">
        <v>1367</v>
      </c>
      <c r="B698" s="1" t="s">
        <v>4967</v>
      </c>
      <c r="C698" s="1" t="s">
        <v>4968</v>
      </c>
      <c r="D698" s="1" t="s">
        <v>4969</v>
      </c>
      <c r="E698" s="1" t="s">
        <v>4970</v>
      </c>
      <c r="F698" s="1" t="s">
        <v>3488</v>
      </c>
      <c r="G698" s="1" t="s">
        <v>1941</v>
      </c>
      <c r="H698" s="1">
        <v>32230.0</v>
      </c>
      <c r="I698" s="3" t="s">
        <v>1951</v>
      </c>
    </row>
    <row r="699" ht="15.75" customHeight="1">
      <c r="A699" s="1" t="s">
        <v>1369</v>
      </c>
      <c r="B699" s="1" t="s">
        <v>4971</v>
      </c>
      <c r="C699" s="1"/>
      <c r="D699" s="1"/>
      <c r="E699" s="1" t="s">
        <v>4972</v>
      </c>
      <c r="F699" s="1" t="s">
        <v>4973</v>
      </c>
      <c r="G699" s="1" t="s">
        <v>1949</v>
      </c>
      <c r="H699" s="1" t="s">
        <v>4974</v>
      </c>
      <c r="I699" s="3" t="s">
        <v>1951</v>
      </c>
    </row>
    <row r="700" ht="15.75" customHeight="1">
      <c r="A700" s="1" t="s">
        <v>1357</v>
      </c>
      <c r="B700" s="1" t="s">
        <v>4975</v>
      </c>
      <c r="C700" s="1" t="s">
        <v>4976</v>
      </c>
      <c r="D700" s="1" t="s">
        <v>4977</v>
      </c>
      <c r="E700" s="1" t="s">
        <v>4978</v>
      </c>
      <c r="F700" s="1" t="s">
        <v>2366</v>
      </c>
      <c r="G700" s="1" t="s">
        <v>1949</v>
      </c>
      <c r="H700" s="1" t="s">
        <v>2545</v>
      </c>
      <c r="I700" s="3" t="s">
        <v>1951</v>
      </c>
    </row>
    <row r="701" ht="15.75" customHeight="1">
      <c r="A701" s="1" t="s">
        <v>1372</v>
      </c>
      <c r="B701" s="1" t="s">
        <v>4979</v>
      </c>
      <c r="C701" s="1" t="s">
        <v>4980</v>
      </c>
      <c r="D701" s="1" t="s">
        <v>4981</v>
      </c>
      <c r="E701" s="1" t="s">
        <v>4982</v>
      </c>
      <c r="F701" s="1" t="s">
        <v>3581</v>
      </c>
      <c r="G701" s="1" t="s">
        <v>1941</v>
      </c>
      <c r="H701" s="1">
        <v>33196.0</v>
      </c>
      <c r="I701" s="3" t="s">
        <v>1942</v>
      </c>
    </row>
    <row r="702" ht="15.75" customHeight="1">
      <c r="A702" s="1" t="s">
        <v>1374</v>
      </c>
      <c r="B702" s="1" t="s">
        <v>4983</v>
      </c>
      <c r="C702" s="1" t="s">
        <v>4984</v>
      </c>
      <c r="D702" s="1"/>
      <c r="E702" s="1" t="s">
        <v>4985</v>
      </c>
      <c r="F702" s="1" t="s">
        <v>3090</v>
      </c>
      <c r="G702" s="1" t="s">
        <v>1941</v>
      </c>
      <c r="H702" s="1">
        <v>94121.0</v>
      </c>
      <c r="I702" s="3" t="s">
        <v>1951</v>
      </c>
    </row>
    <row r="703" ht="15.75" customHeight="1">
      <c r="A703" s="1" t="s">
        <v>1376</v>
      </c>
      <c r="B703" s="1" t="s">
        <v>4986</v>
      </c>
      <c r="C703" s="1" t="s">
        <v>4987</v>
      </c>
      <c r="D703" s="1" t="s">
        <v>4988</v>
      </c>
      <c r="E703" s="1" t="s">
        <v>4989</v>
      </c>
      <c r="F703" s="1" t="s">
        <v>3402</v>
      </c>
      <c r="G703" s="1" t="s">
        <v>1949</v>
      </c>
      <c r="H703" s="1" t="s">
        <v>2083</v>
      </c>
      <c r="I703" s="3" t="s">
        <v>1942</v>
      </c>
    </row>
    <row r="704" ht="15.75" customHeight="1">
      <c r="A704" s="1" t="s">
        <v>1378</v>
      </c>
      <c r="B704" s="1" t="s">
        <v>4990</v>
      </c>
      <c r="C704" s="1" t="s">
        <v>4991</v>
      </c>
      <c r="D704" s="1"/>
      <c r="E704" s="1" t="s">
        <v>4992</v>
      </c>
      <c r="F704" s="1" t="s">
        <v>2053</v>
      </c>
      <c r="G704" s="1" t="s">
        <v>1941</v>
      </c>
      <c r="H704" s="1">
        <v>33982.0</v>
      </c>
      <c r="I704" s="3" t="s">
        <v>1942</v>
      </c>
    </row>
    <row r="705" ht="15.75" customHeight="1">
      <c r="A705" s="1" t="s">
        <v>1380</v>
      </c>
      <c r="B705" s="1" t="s">
        <v>4993</v>
      </c>
      <c r="C705" s="1"/>
      <c r="D705" s="1" t="s">
        <v>4994</v>
      </c>
      <c r="E705" s="1" t="s">
        <v>4995</v>
      </c>
      <c r="F705" s="1" t="s">
        <v>2600</v>
      </c>
      <c r="G705" s="1" t="s">
        <v>1949</v>
      </c>
      <c r="H705" s="1" t="s">
        <v>2545</v>
      </c>
      <c r="I705" s="3" t="s">
        <v>1942</v>
      </c>
    </row>
    <row r="706" ht="15.75" customHeight="1">
      <c r="A706" s="1" t="s">
        <v>1382</v>
      </c>
      <c r="B706" s="1" t="s">
        <v>4996</v>
      </c>
      <c r="C706" s="1"/>
      <c r="D706" s="1" t="s">
        <v>4997</v>
      </c>
      <c r="E706" s="1" t="s">
        <v>4998</v>
      </c>
      <c r="F706" s="1" t="s">
        <v>2037</v>
      </c>
      <c r="G706" s="1" t="s">
        <v>1941</v>
      </c>
      <c r="H706" s="1">
        <v>10125.0</v>
      </c>
      <c r="I706" s="3" t="s">
        <v>1942</v>
      </c>
    </row>
    <row r="707" ht="15.75" customHeight="1">
      <c r="A707" s="1" t="s">
        <v>1384</v>
      </c>
      <c r="B707" s="1" t="s">
        <v>4999</v>
      </c>
      <c r="C707" s="1" t="s">
        <v>5000</v>
      </c>
      <c r="D707" s="1" t="s">
        <v>5001</v>
      </c>
      <c r="E707" s="1" t="s">
        <v>5002</v>
      </c>
      <c r="F707" s="1" t="s">
        <v>2886</v>
      </c>
      <c r="G707" s="1" t="s">
        <v>1941</v>
      </c>
      <c r="H707" s="1">
        <v>29305.0</v>
      </c>
      <c r="I707" s="3" t="s">
        <v>1951</v>
      </c>
    </row>
    <row r="708" ht="15.75" customHeight="1">
      <c r="A708" s="1" t="s">
        <v>1386</v>
      </c>
      <c r="B708" s="1" t="s">
        <v>5003</v>
      </c>
      <c r="C708" s="1" t="s">
        <v>5004</v>
      </c>
      <c r="D708" s="1" t="s">
        <v>5005</v>
      </c>
      <c r="E708" s="1" t="s">
        <v>5006</v>
      </c>
      <c r="F708" s="1" t="s">
        <v>5007</v>
      </c>
      <c r="G708" s="1" t="s">
        <v>1941</v>
      </c>
      <c r="H708" s="1">
        <v>93305.0</v>
      </c>
      <c r="I708" s="3" t="s">
        <v>1951</v>
      </c>
    </row>
    <row r="709" ht="15.75" customHeight="1">
      <c r="A709" s="1" t="s">
        <v>1388</v>
      </c>
      <c r="B709" s="1" t="s">
        <v>5008</v>
      </c>
      <c r="C709" s="1"/>
      <c r="D709" s="1" t="s">
        <v>5009</v>
      </c>
      <c r="E709" s="1" t="s">
        <v>5010</v>
      </c>
      <c r="F709" s="1" t="s">
        <v>5011</v>
      </c>
      <c r="G709" s="1" t="s">
        <v>1949</v>
      </c>
      <c r="H709" s="1" t="s">
        <v>3913</v>
      </c>
      <c r="I709" s="3" t="s">
        <v>1951</v>
      </c>
    </row>
    <row r="710" ht="15.75" customHeight="1">
      <c r="A710" s="1" t="s">
        <v>1390</v>
      </c>
      <c r="B710" s="1" t="s">
        <v>5012</v>
      </c>
      <c r="C710" s="1" t="s">
        <v>5013</v>
      </c>
      <c r="D710" s="1" t="s">
        <v>5014</v>
      </c>
      <c r="E710" s="1" t="s">
        <v>5015</v>
      </c>
      <c r="F710" s="1" t="s">
        <v>2013</v>
      </c>
      <c r="G710" s="1" t="s">
        <v>1941</v>
      </c>
      <c r="H710" s="1">
        <v>63169.0</v>
      </c>
      <c r="I710" s="3" t="s">
        <v>1942</v>
      </c>
    </row>
    <row r="711" ht="15.75" customHeight="1">
      <c r="A711" s="1" t="s">
        <v>1392</v>
      </c>
      <c r="B711" s="1" t="s">
        <v>5016</v>
      </c>
      <c r="C711" s="1"/>
      <c r="D711" s="1" t="s">
        <v>5017</v>
      </c>
      <c r="E711" s="1" t="s">
        <v>5018</v>
      </c>
      <c r="F711" s="1" t="s">
        <v>2238</v>
      </c>
      <c r="G711" s="1" t="s">
        <v>1941</v>
      </c>
      <c r="H711" s="1">
        <v>46896.0</v>
      </c>
      <c r="I711" s="3" t="s">
        <v>1942</v>
      </c>
    </row>
    <row r="712" ht="15.75" customHeight="1">
      <c r="A712" s="1" t="s">
        <v>1394</v>
      </c>
      <c r="B712" s="1" t="s">
        <v>5019</v>
      </c>
      <c r="C712" s="1" t="s">
        <v>5020</v>
      </c>
      <c r="D712" s="1" t="s">
        <v>5021</v>
      </c>
      <c r="E712" s="1" t="s">
        <v>5022</v>
      </c>
      <c r="F712" s="1" t="s">
        <v>5023</v>
      </c>
      <c r="G712" s="1" t="s">
        <v>1941</v>
      </c>
      <c r="H712" s="1">
        <v>55564.0</v>
      </c>
      <c r="I712" s="3" t="s">
        <v>1951</v>
      </c>
    </row>
    <row r="713" ht="15.75" customHeight="1">
      <c r="A713" s="1" t="s">
        <v>1396</v>
      </c>
      <c r="B713" s="1" t="s">
        <v>5024</v>
      </c>
      <c r="C713" s="1" t="s">
        <v>5025</v>
      </c>
      <c r="D713" s="1" t="s">
        <v>5026</v>
      </c>
      <c r="E713" s="1" t="s">
        <v>5027</v>
      </c>
      <c r="F713" s="1" t="s">
        <v>5028</v>
      </c>
      <c r="G713" s="1" t="s">
        <v>1941</v>
      </c>
      <c r="H713" s="1">
        <v>72905.0</v>
      </c>
      <c r="I713" s="3" t="s">
        <v>1951</v>
      </c>
    </row>
    <row r="714" ht="15.75" customHeight="1">
      <c r="A714" s="1" t="s">
        <v>1398</v>
      </c>
      <c r="B714" s="1" t="s">
        <v>5029</v>
      </c>
      <c r="C714" s="1"/>
      <c r="D714" s="1"/>
      <c r="E714" s="1" t="s">
        <v>5030</v>
      </c>
      <c r="F714" s="1" t="s">
        <v>3563</v>
      </c>
      <c r="G714" s="1" t="s">
        <v>2116</v>
      </c>
      <c r="H714" s="1" t="s">
        <v>3564</v>
      </c>
      <c r="I714" s="3" t="s">
        <v>1951</v>
      </c>
    </row>
    <row r="715" ht="15.75" customHeight="1">
      <c r="A715" s="1" t="s">
        <v>1400</v>
      </c>
      <c r="B715" s="1" t="s">
        <v>5031</v>
      </c>
      <c r="C715" s="1" t="s">
        <v>5032</v>
      </c>
      <c r="D715" s="1" t="s">
        <v>5033</v>
      </c>
      <c r="E715" s="1" t="s">
        <v>5034</v>
      </c>
      <c r="F715" s="1" t="s">
        <v>2419</v>
      </c>
      <c r="G715" s="1" t="s">
        <v>1941</v>
      </c>
      <c r="H715" s="1">
        <v>95210.0</v>
      </c>
      <c r="I715" s="3" t="s">
        <v>1951</v>
      </c>
    </row>
    <row r="716" ht="15.75" customHeight="1">
      <c r="A716" s="1" t="s">
        <v>1402</v>
      </c>
      <c r="B716" s="1" t="s">
        <v>5035</v>
      </c>
      <c r="C716" s="1" t="s">
        <v>5036</v>
      </c>
      <c r="D716" s="1" t="s">
        <v>5037</v>
      </c>
      <c r="E716" s="1" t="s">
        <v>5038</v>
      </c>
      <c r="F716" s="1" t="s">
        <v>5039</v>
      </c>
      <c r="G716" s="1" t="s">
        <v>1949</v>
      </c>
      <c r="H716" s="1" t="s">
        <v>2536</v>
      </c>
      <c r="I716" s="3" t="s">
        <v>1942</v>
      </c>
    </row>
    <row r="717" ht="15.75" customHeight="1">
      <c r="A717" s="1" t="s">
        <v>1404</v>
      </c>
      <c r="B717" s="1" t="s">
        <v>5040</v>
      </c>
      <c r="C717" s="1" t="s">
        <v>5041</v>
      </c>
      <c r="D717" s="1"/>
      <c r="E717" s="1" t="s">
        <v>5042</v>
      </c>
      <c r="F717" s="1" t="s">
        <v>2220</v>
      </c>
      <c r="G717" s="1" t="s">
        <v>1941</v>
      </c>
      <c r="H717" s="1">
        <v>33686.0</v>
      </c>
      <c r="I717" s="3" t="s">
        <v>1951</v>
      </c>
    </row>
    <row r="718" ht="15.75" customHeight="1">
      <c r="A718" s="1" t="s">
        <v>5043</v>
      </c>
      <c r="B718" s="1" t="s">
        <v>5044</v>
      </c>
      <c r="C718" s="1" t="s">
        <v>5045</v>
      </c>
      <c r="D718" s="1" t="s">
        <v>5046</v>
      </c>
      <c r="E718" s="1" t="s">
        <v>5047</v>
      </c>
      <c r="F718" s="1" t="s">
        <v>2725</v>
      </c>
      <c r="G718" s="1" t="s">
        <v>1949</v>
      </c>
      <c r="H718" s="1" t="s">
        <v>2726</v>
      </c>
      <c r="I718" s="3" t="s">
        <v>1951</v>
      </c>
    </row>
    <row r="719" ht="15.75" customHeight="1">
      <c r="A719" s="1" t="s">
        <v>1407</v>
      </c>
      <c r="B719" s="1" t="s">
        <v>5048</v>
      </c>
      <c r="C719" s="1" t="s">
        <v>5049</v>
      </c>
      <c r="D719" s="1" t="s">
        <v>5050</v>
      </c>
      <c r="E719" s="1" t="s">
        <v>5051</v>
      </c>
      <c r="F719" s="1" t="s">
        <v>2017</v>
      </c>
      <c r="G719" s="1" t="s">
        <v>1941</v>
      </c>
      <c r="H719" s="1">
        <v>19104.0</v>
      </c>
      <c r="I719" s="3" t="s">
        <v>1951</v>
      </c>
    </row>
    <row r="720" ht="15.75" customHeight="1">
      <c r="A720" s="1" t="s">
        <v>1409</v>
      </c>
      <c r="B720" s="1" t="s">
        <v>5052</v>
      </c>
      <c r="C720" s="1" t="s">
        <v>5053</v>
      </c>
      <c r="D720" s="1" t="s">
        <v>5054</v>
      </c>
      <c r="E720" s="1" t="s">
        <v>5055</v>
      </c>
      <c r="F720" s="1" t="s">
        <v>4760</v>
      </c>
      <c r="G720" s="1" t="s">
        <v>1941</v>
      </c>
      <c r="H720" s="1">
        <v>76905.0</v>
      </c>
      <c r="I720" s="3" t="s">
        <v>1951</v>
      </c>
    </row>
    <row r="721" ht="15.75" customHeight="1">
      <c r="A721" s="1" t="s">
        <v>1411</v>
      </c>
      <c r="B721" s="1" t="s">
        <v>5056</v>
      </c>
      <c r="C721" s="1" t="s">
        <v>5057</v>
      </c>
      <c r="D721" s="1" t="s">
        <v>5058</v>
      </c>
      <c r="E721" s="1" t="s">
        <v>5059</v>
      </c>
      <c r="F721" s="1" t="s">
        <v>1986</v>
      </c>
      <c r="G721" s="1" t="s">
        <v>1941</v>
      </c>
      <c r="H721" s="1">
        <v>90035.0</v>
      </c>
      <c r="I721" s="3" t="s">
        <v>1942</v>
      </c>
    </row>
    <row r="722" ht="15.75" customHeight="1">
      <c r="A722" s="1" t="s">
        <v>1413</v>
      </c>
      <c r="B722" s="1" t="s">
        <v>5060</v>
      </c>
      <c r="C722" s="1" t="s">
        <v>5061</v>
      </c>
      <c r="D722" s="1" t="s">
        <v>5062</v>
      </c>
      <c r="E722" s="1" t="s">
        <v>5063</v>
      </c>
      <c r="F722" s="1" t="s">
        <v>2800</v>
      </c>
      <c r="G722" s="1" t="s">
        <v>1941</v>
      </c>
      <c r="H722" s="1">
        <v>48912.0</v>
      </c>
      <c r="I722" s="3" t="s">
        <v>1942</v>
      </c>
    </row>
    <row r="723" ht="15.75" customHeight="1">
      <c r="A723" s="1" t="s">
        <v>1415</v>
      </c>
      <c r="B723" s="1" t="s">
        <v>5064</v>
      </c>
      <c r="C723" s="1" t="s">
        <v>5065</v>
      </c>
      <c r="D723" s="1" t="s">
        <v>5066</v>
      </c>
      <c r="E723" s="1" t="s">
        <v>5067</v>
      </c>
      <c r="F723" s="1" t="s">
        <v>2713</v>
      </c>
      <c r="G723" s="1" t="s">
        <v>1941</v>
      </c>
      <c r="H723" s="1">
        <v>34615.0</v>
      </c>
      <c r="I723" s="3" t="s">
        <v>1942</v>
      </c>
    </row>
    <row r="724" ht="15.75" customHeight="1">
      <c r="A724" s="1" t="s">
        <v>1417</v>
      </c>
      <c r="B724" s="1" t="s">
        <v>5068</v>
      </c>
      <c r="C724" s="1"/>
      <c r="D724" s="1" t="s">
        <v>5069</v>
      </c>
      <c r="E724" s="1" t="s">
        <v>5070</v>
      </c>
      <c r="F724" s="1" t="s">
        <v>2758</v>
      </c>
      <c r="G724" s="1" t="s">
        <v>1941</v>
      </c>
      <c r="H724" s="1">
        <v>90605.0</v>
      </c>
      <c r="I724" s="3" t="s">
        <v>1951</v>
      </c>
    </row>
    <row r="725" ht="15.75" customHeight="1">
      <c r="A725" s="1" t="s">
        <v>1419</v>
      </c>
      <c r="B725" s="1" t="s">
        <v>5071</v>
      </c>
      <c r="C725" s="1" t="s">
        <v>5072</v>
      </c>
      <c r="D725" s="1" t="s">
        <v>5073</v>
      </c>
      <c r="E725" s="1" t="s">
        <v>5074</v>
      </c>
      <c r="F725" s="1" t="s">
        <v>2355</v>
      </c>
      <c r="G725" s="1" t="s">
        <v>1941</v>
      </c>
      <c r="H725" s="1">
        <v>93773.0</v>
      </c>
      <c r="I725" s="3" t="s">
        <v>1951</v>
      </c>
    </row>
    <row r="726" ht="15.75" customHeight="1">
      <c r="A726" s="1" t="s">
        <v>1421</v>
      </c>
      <c r="B726" s="1" t="s">
        <v>5075</v>
      </c>
      <c r="C726" s="1"/>
      <c r="D726" s="1" t="s">
        <v>5076</v>
      </c>
      <c r="E726" s="1" t="s">
        <v>5077</v>
      </c>
      <c r="F726" s="1" t="s">
        <v>2037</v>
      </c>
      <c r="G726" s="1" t="s">
        <v>1941</v>
      </c>
      <c r="H726" s="1">
        <v>10155.0</v>
      </c>
      <c r="I726" s="3" t="s">
        <v>1942</v>
      </c>
    </row>
    <row r="727" ht="15.75" customHeight="1">
      <c r="A727" s="1" t="s">
        <v>1423</v>
      </c>
      <c r="B727" s="1" t="s">
        <v>5078</v>
      </c>
      <c r="C727" s="1" t="s">
        <v>5079</v>
      </c>
      <c r="D727" s="1" t="s">
        <v>5080</v>
      </c>
      <c r="E727" s="1" t="s">
        <v>5081</v>
      </c>
      <c r="F727" s="1" t="s">
        <v>2340</v>
      </c>
      <c r="G727" s="1" t="s">
        <v>1941</v>
      </c>
      <c r="H727" s="1">
        <v>80935.0</v>
      </c>
      <c r="I727" s="3" t="s">
        <v>1951</v>
      </c>
    </row>
    <row r="728" ht="15.75" customHeight="1">
      <c r="A728" s="1" t="s">
        <v>1425</v>
      </c>
      <c r="B728" s="1" t="s">
        <v>5082</v>
      </c>
      <c r="C728" s="1"/>
      <c r="D728" s="1" t="s">
        <v>5083</v>
      </c>
      <c r="E728" s="1" t="s">
        <v>5084</v>
      </c>
      <c r="F728" s="1" t="s">
        <v>5085</v>
      </c>
      <c r="G728" s="1" t="s">
        <v>1941</v>
      </c>
      <c r="H728" s="1">
        <v>90831.0</v>
      </c>
      <c r="I728" s="3" t="s">
        <v>1951</v>
      </c>
    </row>
    <row r="729" ht="15.75" customHeight="1">
      <c r="A729" s="1" t="s">
        <v>1427</v>
      </c>
      <c r="B729" s="1" t="s">
        <v>5086</v>
      </c>
      <c r="C729" s="1" t="s">
        <v>5087</v>
      </c>
      <c r="D729" s="1" t="s">
        <v>5088</v>
      </c>
      <c r="E729" s="1" t="s">
        <v>5089</v>
      </c>
      <c r="F729" s="1" t="s">
        <v>5090</v>
      </c>
      <c r="G729" s="1" t="s">
        <v>1949</v>
      </c>
      <c r="H729" s="1" t="s">
        <v>5091</v>
      </c>
      <c r="I729" s="3" t="s">
        <v>1942</v>
      </c>
    </row>
    <row r="730" ht="15.75" customHeight="1">
      <c r="A730" s="1" t="s">
        <v>1429</v>
      </c>
      <c r="B730" s="1" t="s">
        <v>5092</v>
      </c>
      <c r="C730" s="1" t="s">
        <v>5093</v>
      </c>
      <c r="D730" s="1" t="s">
        <v>5094</v>
      </c>
      <c r="E730" s="1" t="s">
        <v>5095</v>
      </c>
      <c r="F730" s="1" t="s">
        <v>2370</v>
      </c>
      <c r="G730" s="1" t="s">
        <v>1941</v>
      </c>
      <c r="H730" s="1">
        <v>89510.0</v>
      </c>
      <c r="I730" s="3" t="s">
        <v>1942</v>
      </c>
    </row>
    <row r="731" ht="15.75" customHeight="1">
      <c r="A731" s="1" t="s">
        <v>1431</v>
      </c>
      <c r="B731" s="1" t="s">
        <v>5096</v>
      </c>
      <c r="C731" s="1" t="s">
        <v>5097</v>
      </c>
      <c r="D731" s="1" t="s">
        <v>5098</v>
      </c>
      <c r="E731" s="1" t="s">
        <v>5099</v>
      </c>
      <c r="F731" s="1" t="s">
        <v>2115</v>
      </c>
      <c r="G731" s="1" t="s">
        <v>2116</v>
      </c>
      <c r="H731" s="1" t="s">
        <v>2117</v>
      </c>
      <c r="I731" s="3" t="s">
        <v>1951</v>
      </c>
    </row>
    <row r="732" ht="15.75" customHeight="1">
      <c r="A732" s="1" t="s">
        <v>1433</v>
      </c>
      <c r="B732" s="1" t="s">
        <v>5100</v>
      </c>
      <c r="C732" s="1" t="s">
        <v>5101</v>
      </c>
      <c r="D732" s="1" t="s">
        <v>5102</v>
      </c>
      <c r="E732" s="1" t="s">
        <v>5103</v>
      </c>
      <c r="F732" s="1" t="s">
        <v>3370</v>
      </c>
      <c r="G732" s="1" t="s">
        <v>1941</v>
      </c>
      <c r="H732" s="1">
        <v>89155.0</v>
      </c>
      <c r="I732" s="3" t="s">
        <v>1951</v>
      </c>
    </row>
    <row r="733" ht="15.75" customHeight="1">
      <c r="A733" s="1" t="s">
        <v>1435</v>
      </c>
      <c r="B733" s="1" t="s">
        <v>5104</v>
      </c>
      <c r="C733" s="1"/>
      <c r="D733" s="1" t="s">
        <v>5105</v>
      </c>
      <c r="E733" s="1" t="s">
        <v>5106</v>
      </c>
      <c r="F733" s="1" t="s">
        <v>5107</v>
      </c>
      <c r="G733" s="1" t="s">
        <v>1941</v>
      </c>
      <c r="H733" s="1">
        <v>19805.0</v>
      </c>
      <c r="I733" s="3" t="s">
        <v>1942</v>
      </c>
    </row>
    <row r="734" ht="15.75" customHeight="1">
      <c r="A734" s="1" t="s">
        <v>1437</v>
      </c>
      <c r="B734" s="1" t="s">
        <v>5108</v>
      </c>
      <c r="C734" s="1" t="s">
        <v>5109</v>
      </c>
      <c r="D734" s="1" t="s">
        <v>5110</v>
      </c>
      <c r="E734" s="1" t="s">
        <v>5111</v>
      </c>
      <c r="F734" s="1" t="s">
        <v>2370</v>
      </c>
      <c r="G734" s="1" t="s">
        <v>1941</v>
      </c>
      <c r="H734" s="1">
        <v>89550.0</v>
      </c>
      <c r="I734" s="3" t="s">
        <v>1951</v>
      </c>
    </row>
    <row r="735" ht="15.75" customHeight="1">
      <c r="A735" s="1" t="s">
        <v>1439</v>
      </c>
      <c r="B735" s="1" t="s">
        <v>5112</v>
      </c>
      <c r="C735" s="1" t="s">
        <v>5113</v>
      </c>
      <c r="D735" s="1" t="s">
        <v>5114</v>
      </c>
      <c r="E735" s="1" t="s">
        <v>5115</v>
      </c>
      <c r="F735" s="1" t="s">
        <v>2439</v>
      </c>
      <c r="G735" s="1" t="s">
        <v>1941</v>
      </c>
      <c r="H735" s="1">
        <v>35487.0</v>
      </c>
      <c r="I735" s="3" t="s">
        <v>1942</v>
      </c>
    </row>
    <row r="736" ht="15.75" customHeight="1">
      <c r="A736" s="1" t="s">
        <v>1441</v>
      </c>
      <c r="B736" s="1" t="s">
        <v>5116</v>
      </c>
      <c r="C736" s="1"/>
      <c r="D736" s="1" t="s">
        <v>5117</v>
      </c>
      <c r="E736" s="1" t="s">
        <v>5118</v>
      </c>
      <c r="F736" s="1" t="s">
        <v>5119</v>
      </c>
      <c r="G736" s="1" t="s">
        <v>1941</v>
      </c>
      <c r="H736" s="1">
        <v>92645.0</v>
      </c>
      <c r="I736" s="3" t="s">
        <v>1951</v>
      </c>
    </row>
    <row r="737" ht="15.75" customHeight="1">
      <c r="A737" s="1" t="s">
        <v>1443</v>
      </c>
      <c r="B737" s="1" t="s">
        <v>5120</v>
      </c>
      <c r="C737" s="1" t="s">
        <v>5121</v>
      </c>
      <c r="D737" s="1"/>
      <c r="E737" s="1" t="s">
        <v>5122</v>
      </c>
      <c r="F737" s="1" t="s">
        <v>2988</v>
      </c>
      <c r="G737" s="1" t="s">
        <v>1941</v>
      </c>
      <c r="H737" s="1">
        <v>66225.0</v>
      </c>
      <c r="I737" s="3" t="s">
        <v>1951</v>
      </c>
    </row>
    <row r="738" ht="15.75" customHeight="1">
      <c r="A738" s="1" t="s">
        <v>1445</v>
      </c>
      <c r="B738" s="1" t="s">
        <v>5123</v>
      </c>
      <c r="C738" s="1" t="s">
        <v>5124</v>
      </c>
      <c r="D738" s="1" t="s">
        <v>5125</v>
      </c>
      <c r="E738" s="1" t="s">
        <v>5126</v>
      </c>
      <c r="F738" s="1" t="s">
        <v>2600</v>
      </c>
      <c r="G738" s="1" t="s">
        <v>1949</v>
      </c>
      <c r="H738" s="1" t="s">
        <v>2545</v>
      </c>
      <c r="I738" s="3" t="s">
        <v>1942</v>
      </c>
    </row>
    <row r="739" ht="15.75" customHeight="1">
      <c r="A739" s="1" t="s">
        <v>1447</v>
      </c>
      <c r="B739" s="1" t="s">
        <v>5127</v>
      </c>
      <c r="C739" s="1" t="s">
        <v>5128</v>
      </c>
      <c r="D739" s="1" t="s">
        <v>5129</v>
      </c>
      <c r="E739" s="1" t="s">
        <v>5130</v>
      </c>
      <c r="F739" s="1" t="s">
        <v>3037</v>
      </c>
      <c r="G739" s="1" t="s">
        <v>1941</v>
      </c>
      <c r="H739" s="1">
        <v>45228.0</v>
      </c>
      <c r="I739" s="3" t="s">
        <v>1951</v>
      </c>
    </row>
    <row r="740" ht="15.75" customHeight="1">
      <c r="A740" s="1" t="s">
        <v>1449</v>
      </c>
      <c r="B740" s="1" t="s">
        <v>5131</v>
      </c>
      <c r="C740" s="1" t="s">
        <v>5132</v>
      </c>
      <c r="D740" s="1" t="s">
        <v>5133</v>
      </c>
      <c r="E740" s="1" t="s">
        <v>5134</v>
      </c>
      <c r="F740" s="1" t="s">
        <v>2912</v>
      </c>
      <c r="G740" s="1" t="s">
        <v>2116</v>
      </c>
      <c r="H740" s="1" t="s">
        <v>2913</v>
      </c>
      <c r="I740" s="3" t="s">
        <v>1951</v>
      </c>
    </row>
    <row r="741" ht="15.75" customHeight="1">
      <c r="A741" s="1" t="s">
        <v>5135</v>
      </c>
      <c r="B741" s="1" t="s">
        <v>5136</v>
      </c>
      <c r="C741" s="1"/>
      <c r="D741" s="1" t="s">
        <v>5137</v>
      </c>
      <c r="E741" s="1" t="s">
        <v>5138</v>
      </c>
      <c r="F741" s="1" t="s">
        <v>2022</v>
      </c>
      <c r="G741" s="1" t="s">
        <v>1941</v>
      </c>
      <c r="H741" s="1">
        <v>97296.0</v>
      </c>
      <c r="I741" s="3" t="s">
        <v>1942</v>
      </c>
    </row>
    <row r="742" ht="15.75" customHeight="1">
      <c r="A742" s="1" t="s">
        <v>1452</v>
      </c>
      <c r="B742" s="1" t="s">
        <v>5139</v>
      </c>
      <c r="C742" s="1" t="s">
        <v>5140</v>
      </c>
      <c r="D742" s="1" t="s">
        <v>5141</v>
      </c>
      <c r="E742" s="1" t="s">
        <v>5142</v>
      </c>
      <c r="F742" s="1" t="s">
        <v>5011</v>
      </c>
      <c r="G742" s="1" t="s">
        <v>1949</v>
      </c>
      <c r="H742" s="1" t="s">
        <v>3913</v>
      </c>
      <c r="I742" s="3" t="s">
        <v>1951</v>
      </c>
    </row>
    <row r="743" ht="15.75" customHeight="1">
      <c r="A743" s="1" t="s">
        <v>1454</v>
      </c>
      <c r="B743" s="1" t="s">
        <v>5143</v>
      </c>
      <c r="C743" s="1" t="s">
        <v>5144</v>
      </c>
      <c r="D743" s="1" t="s">
        <v>5145</v>
      </c>
      <c r="E743" s="1" t="s">
        <v>5146</v>
      </c>
      <c r="F743" s="1" t="s">
        <v>4811</v>
      </c>
      <c r="G743" s="1" t="s">
        <v>1941</v>
      </c>
      <c r="H743" s="1">
        <v>94089.0</v>
      </c>
      <c r="I743" s="3" t="s">
        <v>1951</v>
      </c>
    </row>
    <row r="744" ht="15.75" customHeight="1">
      <c r="A744" s="1" t="s">
        <v>1456</v>
      </c>
      <c r="B744" s="1" t="s">
        <v>5147</v>
      </c>
      <c r="C744" s="1" t="s">
        <v>5148</v>
      </c>
      <c r="D744" s="1" t="s">
        <v>5149</v>
      </c>
      <c r="E744" s="1" t="s">
        <v>5150</v>
      </c>
      <c r="F744" s="1" t="s">
        <v>2845</v>
      </c>
      <c r="G744" s="1" t="s">
        <v>1941</v>
      </c>
      <c r="H744" s="1">
        <v>38188.0</v>
      </c>
      <c r="I744" s="3" t="s">
        <v>1951</v>
      </c>
    </row>
    <row r="745" ht="15.75" customHeight="1">
      <c r="A745" s="1" t="s">
        <v>1458</v>
      </c>
      <c r="B745" s="1" t="s">
        <v>5151</v>
      </c>
      <c r="C745" s="1" t="s">
        <v>5152</v>
      </c>
      <c r="D745" s="1" t="s">
        <v>5153</v>
      </c>
      <c r="E745" s="1" t="s">
        <v>5154</v>
      </c>
      <c r="F745" s="1" t="s">
        <v>4401</v>
      </c>
      <c r="G745" s="1" t="s">
        <v>1941</v>
      </c>
      <c r="H745" s="1">
        <v>32868.0</v>
      </c>
      <c r="I745" s="3" t="s">
        <v>1951</v>
      </c>
    </row>
    <row r="746" ht="15.75" customHeight="1">
      <c r="A746" s="1" t="s">
        <v>1460</v>
      </c>
      <c r="B746" s="1" t="s">
        <v>5155</v>
      </c>
      <c r="C746" s="1"/>
      <c r="D746" s="1" t="s">
        <v>5156</v>
      </c>
      <c r="E746" s="1" t="s">
        <v>5157</v>
      </c>
      <c r="F746" s="1" t="s">
        <v>2821</v>
      </c>
      <c r="G746" s="1" t="s">
        <v>1941</v>
      </c>
      <c r="H746" s="1">
        <v>48232.0</v>
      </c>
      <c r="I746" s="3" t="s">
        <v>1942</v>
      </c>
    </row>
    <row r="747" ht="15.75" customHeight="1">
      <c r="A747" s="1" t="s">
        <v>1462</v>
      </c>
      <c r="B747" s="1" t="s">
        <v>5158</v>
      </c>
      <c r="C747" s="1" t="s">
        <v>5159</v>
      </c>
      <c r="D747" s="1" t="s">
        <v>5160</v>
      </c>
      <c r="E747" s="1" t="s">
        <v>5161</v>
      </c>
      <c r="F747" s="1" t="s">
        <v>5162</v>
      </c>
      <c r="G747" s="1" t="s">
        <v>1949</v>
      </c>
      <c r="H747" s="1" t="s">
        <v>5163</v>
      </c>
      <c r="I747" s="3" t="s">
        <v>1951</v>
      </c>
    </row>
    <row r="748" ht="15.75" customHeight="1">
      <c r="A748" s="1" t="s">
        <v>1464</v>
      </c>
      <c r="B748" s="1" t="s">
        <v>5164</v>
      </c>
      <c r="C748" s="1" t="s">
        <v>5165</v>
      </c>
      <c r="D748" s="1" t="s">
        <v>5166</v>
      </c>
      <c r="E748" s="1" t="s">
        <v>5167</v>
      </c>
      <c r="F748" s="1" t="s">
        <v>5168</v>
      </c>
      <c r="G748" s="1" t="s">
        <v>1949</v>
      </c>
      <c r="H748" s="1" t="s">
        <v>2726</v>
      </c>
      <c r="I748" s="3" t="s">
        <v>1951</v>
      </c>
    </row>
    <row r="749" ht="15.75" customHeight="1">
      <c r="A749" s="1" t="s">
        <v>1466</v>
      </c>
      <c r="B749" s="1" t="s">
        <v>5169</v>
      </c>
      <c r="C749" s="1" t="s">
        <v>5170</v>
      </c>
      <c r="D749" s="1" t="s">
        <v>5171</v>
      </c>
      <c r="E749" s="1" t="s">
        <v>5172</v>
      </c>
      <c r="F749" s="1" t="s">
        <v>5173</v>
      </c>
      <c r="G749" s="1" t="s">
        <v>1949</v>
      </c>
      <c r="H749" s="1" t="s">
        <v>5174</v>
      </c>
      <c r="I749" s="3" t="s">
        <v>1942</v>
      </c>
    </row>
    <row r="750" ht="15.75" customHeight="1">
      <c r="A750" s="1" t="s">
        <v>1468</v>
      </c>
      <c r="B750" s="1" t="s">
        <v>5175</v>
      </c>
      <c r="C750" s="1" t="s">
        <v>5176</v>
      </c>
      <c r="D750" s="1" t="s">
        <v>5177</v>
      </c>
      <c r="E750" s="1" t="s">
        <v>5178</v>
      </c>
      <c r="F750" s="1" t="s">
        <v>2004</v>
      </c>
      <c r="G750" s="1" t="s">
        <v>1941</v>
      </c>
      <c r="H750" s="1">
        <v>23203.0</v>
      </c>
      <c r="I750" s="3" t="s">
        <v>1951</v>
      </c>
    </row>
    <row r="751" ht="15.75" customHeight="1">
      <c r="A751" s="1" t="s">
        <v>1470</v>
      </c>
      <c r="B751" s="1" t="s">
        <v>5179</v>
      </c>
      <c r="C751" s="1" t="s">
        <v>5180</v>
      </c>
      <c r="D751" s="1" t="s">
        <v>5181</v>
      </c>
      <c r="E751" s="1" t="s">
        <v>5182</v>
      </c>
      <c r="F751" s="1" t="s">
        <v>5183</v>
      </c>
      <c r="G751" s="1" t="s">
        <v>1949</v>
      </c>
      <c r="H751" s="1" t="s">
        <v>2536</v>
      </c>
      <c r="I751" s="3" t="s">
        <v>1942</v>
      </c>
    </row>
    <row r="752" ht="15.75" customHeight="1">
      <c r="A752" s="1" t="s">
        <v>1472</v>
      </c>
      <c r="B752" s="1" t="s">
        <v>5184</v>
      </c>
      <c r="C752" s="1"/>
      <c r="D752" s="1" t="s">
        <v>5185</v>
      </c>
      <c r="E752" s="1" t="s">
        <v>5186</v>
      </c>
      <c r="F752" s="1" t="s">
        <v>2266</v>
      </c>
      <c r="G752" s="1" t="s">
        <v>1941</v>
      </c>
      <c r="H752" s="1">
        <v>76178.0</v>
      </c>
      <c r="I752" s="3" t="s">
        <v>1942</v>
      </c>
    </row>
    <row r="753" ht="15.75" customHeight="1">
      <c r="A753" s="1" t="s">
        <v>1474</v>
      </c>
      <c r="B753" s="1" t="s">
        <v>5187</v>
      </c>
      <c r="C753" s="1" t="s">
        <v>5188</v>
      </c>
      <c r="D753" s="1" t="s">
        <v>5189</v>
      </c>
      <c r="E753" s="1" t="s">
        <v>5190</v>
      </c>
      <c r="F753" s="1" t="s">
        <v>2776</v>
      </c>
      <c r="G753" s="1" t="s">
        <v>1941</v>
      </c>
      <c r="H753" s="1">
        <v>11254.0</v>
      </c>
      <c r="I753" s="3" t="s">
        <v>1951</v>
      </c>
    </row>
    <row r="754" ht="15.75" customHeight="1">
      <c r="A754" s="1" t="s">
        <v>1476</v>
      </c>
      <c r="B754" s="1" t="s">
        <v>5191</v>
      </c>
      <c r="C754" s="1" t="s">
        <v>5192</v>
      </c>
      <c r="D754" s="1" t="s">
        <v>5193</v>
      </c>
      <c r="E754" s="1" t="s">
        <v>5194</v>
      </c>
      <c r="F754" s="1" t="s">
        <v>2266</v>
      </c>
      <c r="G754" s="1" t="s">
        <v>1941</v>
      </c>
      <c r="H754" s="1">
        <v>76198.0</v>
      </c>
      <c r="I754" s="3" t="s">
        <v>1942</v>
      </c>
    </row>
    <row r="755" ht="15.75" customHeight="1">
      <c r="A755" s="1" t="s">
        <v>1478</v>
      </c>
      <c r="B755" s="1" t="s">
        <v>5195</v>
      </c>
      <c r="C755" s="1" t="s">
        <v>5196</v>
      </c>
      <c r="D755" s="1" t="s">
        <v>5197</v>
      </c>
      <c r="E755" s="1" t="s">
        <v>5198</v>
      </c>
      <c r="F755" s="1" t="s">
        <v>3099</v>
      </c>
      <c r="G755" s="1" t="s">
        <v>1941</v>
      </c>
      <c r="H755" s="1">
        <v>85053.0</v>
      </c>
      <c r="I755" s="3" t="s">
        <v>1951</v>
      </c>
    </row>
    <row r="756" ht="15.75" customHeight="1">
      <c r="A756" s="1" t="s">
        <v>5199</v>
      </c>
      <c r="B756" s="1" t="s">
        <v>5200</v>
      </c>
      <c r="C756" s="1" t="s">
        <v>5201</v>
      </c>
      <c r="D756" s="1"/>
      <c r="E756" s="1" t="s">
        <v>5202</v>
      </c>
      <c r="F756" s="1" t="s">
        <v>2186</v>
      </c>
      <c r="G756" s="1" t="s">
        <v>1941</v>
      </c>
      <c r="H756" s="1">
        <v>20470.0</v>
      </c>
      <c r="I756" s="3" t="s">
        <v>1951</v>
      </c>
    </row>
    <row r="757" ht="15.75" customHeight="1">
      <c r="A757" s="1" t="s">
        <v>1481</v>
      </c>
      <c r="B757" s="1" t="s">
        <v>5203</v>
      </c>
      <c r="C757" s="1" t="s">
        <v>5204</v>
      </c>
      <c r="D757" s="1" t="s">
        <v>5205</v>
      </c>
      <c r="E757" s="1" t="s">
        <v>5206</v>
      </c>
      <c r="F757" s="1" t="s">
        <v>2325</v>
      </c>
      <c r="G757" s="1" t="s">
        <v>1941</v>
      </c>
      <c r="H757" s="1">
        <v>75287.0</v>
      </c>
      <c r="I757" s="3" t="s">
        <v>1951</v>
      </c>
    </row>
    <row r="758" ht="15.75" customHeight="1">
      <c r="A758" s="1" t="s">
        <v>1483</v>
      </c>
      <c r="B758" s="1" t="s">
        <v>5207</v>
      </c>
      <c r="C758" s="1" t="s">
        <v>5208</v>
      </c>
      <c r="D758" s="1" t="s">
        <v>5209</v>
      </c>
      <c r="E758" s="1" t="s">
        <v>5210</v>
      </c>
      <c r="F758" s="1" t="s">
        <v>3687</v>
      </c>
      <c r="G758" s="1" t="s">
        <v>1941</v>
      </c>
      <c r="H758" s="1">
        <v>28805.0</v>
      </c>
      <c r="I758" s="3" t="s">
        <v>1942</v>
      </c>
    </row>
    <row r="759" ht="15.75" customHeight="1">
      <c r="A759" s="1" t="s">
        <v>1485</v>
      </c>
      <c r="B759" s="1" t="s">
        <v>5211</v>
      </c>
      <c r="C759" s="1" t="s">
        <v>5212</v>
      </c>
      <c r="D759" s="1" t="s">
        <v>5213</v>
      </c>
      <c r="E759" s="1" t="s">
        <v>5214</v>
      </c>
      <c r="F759" s="1" t="s">
        <v>5215</v>
      </c>
      <c r="G759" s="1" t="s">
        <v>1941</v>
      </c>
      <c r="H759" s="1">
        <v>59112.0</v>
      </c>
      <c r="I759" s="3" t="s">
        <v>1942</v>
      </c>
    </row>
    <row r="760" ht="15.75" customHeight="1">
      <c r="A760" s="1" t="s">
        <v>1487</v>
      </c>
      <c r="B760" s="1" t="s">
        <v>5216</v>
      </c>
      <c r="C760" s="1" t="s">
        <v>5217</v>
      </c>
      <c r="D760" s="1"/>
      <c r="E760" s="1" t="s">
        <v>5218</v>
      </c>
      <c r="F760" s="1" t="s">
        <v>2013</v>
      </c>
      <c r="G760" s="1" t="s">
        <v>1941</v>
      </c>
      <c r="H760" s="1">
        <v>63126.0</v>
      </c>
      <c r="I760" s="3" t="s">
        <v>1951</v>
      </c>
    </row>
    <row r="761" ht="15.75" customHeight="1">
      <c r="A761" s="1" t="s">
        <v>1489</v>
      </c>
      <c r="B761" s="1" t="s">
        <v>5219</v>
      </c>
      <c r="C761" s="1" t="s">
        <v>5220</v>
      </c>
      <c r="D761" s="1" t="s">
        <v>5221</v>
      </c>
      <c r="E761" s="1" t="s">
        <v>5222</v>
      </c>
      <c r="F761" s="1" t="s">
        <v>5223</v>
      </c>
      <c r="G761" s="1" t="s">
        <v>1941</v>
      </c>
      <c r="H761" s="1">
        <v>64054.0</v>
      </c>
      <c r="I761" s="3" t="s">
        <v>1942</v>
      </c>
    </row>
    <row r="762" ht="15.75" customHeight="1">
      <c r="A762" s="1" t="s">
        <v>1491</v>
      </c>
      <c r="B762" s="1" t="s">
        <v>5224</v>
      </c>
      <c r="C762" s="1" t="s">
        <v>5225</v>
      </c>
      <c r="D762" s="1"/>
      <c r="E762" s="1" t="s">
        <v>5226</v>
      </c>
      <c r="F762" s="1" t="s">
        <v>2694</v>
      </c>
      <c r="G762" s="1" t="s">
        <v>1941</v>
      </c>
      <c r="H762" s="1">
        <v>27404.0</v>
      </c>
      <c r="I762" s="3" t="s">
        <v>1951</v>
      </c>
    </row>
    <row r="763" ht="15.75" customHeight="1">
      <c r="A763" s="1" t="s">
        <v>1493</v>
      </c>
      <c r="B763" s="1" t="s">
        <v>5227</v>
      </c>
      <c r="C763" s="1" t="s">
        <v>5228</v>
      </c>
      <c r="D763" s="1"/>
      <c r="E763" s="1" t="s">
        <v>5229</v>
      </c>
      <c r="F763" s="1" t="s">
        <v>5230</v>
      </c>
      <c r="G763" s="1" t="s">
        <v>1941</v>
      </c>
      <c r="H763" s="1">
        <v>71213.0</v>
      </c>
      <c r="I763" s="3" t="s">
        <v>1942</v>
      </c>
    </row>
    <row r="764" ht="15.75" customHeight="1">
      <c r="A764" s="1" t="s">
        <v>1495</v>
      </c>
      <c r="B764" s="1" t="s">
        <v>5231</v>
      </c>
      <c r="C764" s="1" t="s">
        <v>5232</v>
      </c>
      <c r="D764" s="1" t="s">
        <v>5233</v>
      </c>
      <c r="E764" s="1" t="s">
        <v>5234</v>
      </c>
      <c r="F764" s="1" t="s">
        <v>4422</v>
      </c>
      <c r="G764" s="1" t="s">
        <v>2116</v>
      </c>
      <c r="H764" s="1" t="s">
        <v>4423</v>
      </c>
      <c r="I764" s="3" t="s">
        <v>1951</v>
      </c>
    </row>
    <row r="765" ht="15.75" customHeight="1">
      <c r="A765" s="1" t="s">
        <v>1497</v>
      </c>
      <c r="B765" s="1" t="s">
        <v>5235</v>
      </c>
      <c r="C765" s="1"/>
      <c r="D765" s="1" t="s">
        <v>5236</v>
      </c>
      <c r="E765" s="1" t="s">
        <v>5237</v>
      </c>
      <c r="F765" s="1" t="s">
        <v>2266</v>
      </c>
      <c r="G765" s="1" t="s">
        <v>1941</v>
      </c>
      <c r="H765" s="1">
        <v>76129.0</v>
      </c>
      <c r="I765" s="3" t="s">
        <v>1951</v>
      </c>
    </row>
    <row r="766" ht="15.75" customHeight="1">
      <c r="A766" s="1" t="s">
        <v>1499</v>
      </c>
      <c r="B766" s="1" t="s">
        <v>5238</v>
      </c>
      <c r="C766" s="1" t="s">
        <v>5239</v>
      </c>
      <c r="D766" s="1" t="s">
        <v>5240</v>
      </c>
      <c r="E766" s="1" t="s">
        <v>5241</v>
      </c>
      <c r="F766" s="1" t="s">
        <v>2550</v>
      </c>
      <c r="G766" s="1" t="s">
        <v>1941</v>
      </c>
      <c r="H766" s="1">
        <v>58122.0</v>
      </c>
      <c r="I766" s="3" t="s">
        <v>1942</v>
      </c>
    </row>
    <row r="767" ht="15.75" customHeight="1">
      <c r="A767" s="1" t="s">
        <v>1501</v>
      </c>
      <c r="B767" s="1" t="s">
        <v>5242</v>
      </c>
      <c r="C767" s="1" t="s">
        <v>5243</v>
      </c>
      <c r="D767" s="1" t="s">
        <v>5244</v>
      </c>
      <c r="E767" s="1" t="s">
        <v>5245</v>
      </c>
      <c r="F767" s="1" t="s">
        <v>2791</v>
      </c>
      <c r="G767" s="1" t="s">
        <v>1941</v>
      </c>
      <c r="H767" s="1">
        <v>75044.0</v>
      </c>
      <c r="I767" s="3" t="s">
        <v>1942</v>
      </c>
    </row>
    <row r="768" ht="15.75" customHeight="1">
      <c r="A768" s="1" t="s">
        <v>5246</v>
      </c>
      <c r="B768" s="1" t="s">
        <v>5247</v>
      </c>
      <c r="C768" s="1" t="s">
        <v>5248</v>
      </c>
      <c r="D768" s="1" t="s">
        <v>5249</v>
      </c>
      <c r="E768" s="1" t="s">
        <v>5250</v>
      </c>
      <c r="F768" s="1" t="s">
        <v>2287</v>
      </c>
      <c r="G768" s="1" t="s">
        <v>1941</v>
      </c>
      <c r="H768" s="1">
        <v>43231.0</v>
      </c>
      <c r="I768" s="3" t="s">
        <v>1951</v>
      </c>
    </row>
    <row r="769" ht="15.75" customHeight="1">
      <c r="A769" s="1" t="s">
        <v>5251</v>
      </c>
      <c r="B769" s="1" t="s">
        <v>5252</v>
      </c>
      <c r="C769" s="1" t="s">
        <v>5253</v>
      </c>
      <c r="D769" s="1" t="s">
        <v>5254</v>
      </c>
      <c r="E769" s="1" t="s">
        <v>5255</v>
      </c>
      <c r="F769" s="1" t="s">
        <v>2387</v>
      </c>
      <c r="G769" s="1" t="s">
        <v>1941</v>
      </c>
      <c r="H769" s="1">
        <v>78737.0</v>
      </c>
      <c r="I769" s="3" t="s">
        <v>1951</v>
      </c>
    </row>
    <row r="770" ht="15.75" customHeight="1">
      <c r="A770" s="1" t="s">
        <v>5256</v>
      </c>
      <c r="B770" s="1" t="s">
        <v>5257</v>
      </c>
      <c r="C770" s="1"/>
      <c r="D770" s="1" t="s">
        <v>5258</v>
      </c>
      <c r="E770" s="1" t="s">
        <v>5259</v>
      </c>
      <c r="F770" s="1" t="s">
        <v>2744</v>
      </c>
      <c r="G770" s="1" t="s">
        <v>1941</v>
      </c>
      <c r="H770" s="1">
        <v>36104.0</v>
      </c>
      <c r="I770" s="3" t="s">
        <v>1942</v>
      </c>
    </row>
    <row r="771" ht="15.75" customHeight="1">
      <c r="A771" s="1" t="s">
        <v>1505</v>
      </c>
      <c r="B771" s="1" t="s">
        <v>5260</v>
      </c>
      <c r="C771" s="1" t="s">
        <v>5261</v>
      </c>
      <c r="D771" s="1" t="s">
        <v>5262</v>
      </c>
      <c r="E771" s="1" t="s">
        <v>5263</v>
      </c>
      <c r="F771" s="1" t="s">
        <v>2172</v>
      </c>
      <c r="G771" s="1" t="s">
        <v>2116</v>
      </c>
      <c r="H771" s="1" t="s">
        <v>3927</v>
      </c>
      <c r="I771" s="3" t="s">
        <v>1951</v>
      </c>
    </row>
    <row r="772" ht="15.75" customHeight="1">
      <c r="A772" s="1" t="s">
        <v>1507</v>
      </c>
      <c r="B772" s="1" t="s">
        <v>5264</v>
      </c>
      <c r="C772" s="1" t="s">
        <v>5265</v>
      </c>
      <c r="D772" s="1"/>
      <c r="E772" s="1" t="s">
        <v>5266</v>
      </c>
      <c r="F772" s="1" t="s">
        <v>1962</v>
      </c>
      <c r="G772" s="1" t="s">
        <v>1941</v>
      </c>
      <c r="H772" s="1">
        <v>22156.0</v>
      </c>
      <c r="I772" s="3" t="s">
        <v>1951</v>
      </c>
    </row>
    <row r="773" ht="15.75" customHeight="1">
      <c r="A773" s="1" t="s">
        <v>1509</v>
      </c>
      <c r="B773" s="1" t="s">
        <v>5267</v>
      </c>
      <c r="C773" s="1" t="s">
        <v>5268</v>
      </c>
      <c r="D773" s="1" t="s">
        <v>5269</v>
      </c>
      <c r="E773" s="1" t="s">
        <v>5270</v>
      </c>
      <c r="F773" s="1" t="s">
        <v>5271</v>
      </c>
      <c r="G773" s="1" t="s">
        <v>1941</v>
      </c>
      <c r="H773" s="1">
        <v>80126.0</v>
      </c>
      <c r="I773" s="3" t="s">
        <v>1951</v>
      </c>
    </row>
    <row r="774" ht="15.75" customHeight="1">
      <c r="A774" s="1" t="s">
        <v>1511</v>
      </c>
      <c r="B774" s="1" t="s">
        <v>5272</v>
      </c>
      <c r="C774" s="1"/>
      <c r="D774" s="1" t="s">
        <v>5273</v>
      </c>
      <c r="E774" s="1" t="s">
        <v>5274</v>
      </c>
      <c r="F774" s="1" t="s">
        <v>3316</v>
      </c>
      <c r="G774" s="1" t="s">
        <v>1941</v>
      </c>
      <c r="H774" s="1">
        <v>21275.0</v>
      </c>
      <c r="I774" s="3" t="s">
        <v>1951</v>
      </c>
    </row>
    <row r="775" ht="15.75" customHeight="1">
      <c r="A775" s="1" t="s">
        <v>1513</v>
      </c>
      <c r="B775" s="1" t="s">
        <v>5275</v>
      </c>
      <c r="C775" s="1" t="s">
        <v>5276</v>
      </c>
      <c r="D775" s="1" t="s">
        <v>5277</v>
      </c>
      <c r="E775" s="1" t="s">
        <v>5278</v>
      </c>
      <c r="F775" s="1" t="s">
        <v>2314</v>
      </c>
      <c r="G775" s="1" t="s">
        <v>1949</v>
      </c>
      <c r="H775" s="1" t="s">
        <v>2315</v>
      </c>
      <c r="I775" s="3" t="s">
        <v>1951</v>
      </c>
    </row>
    <row r="776" ht="15.75" customHeight="1">
      <c r="A776" s="1" t="s">
        <v>1515</v>
      </c>
      <c r="B776" s="1" t="s">
        <v>5279</v>
      </c>
      <c r="C776" s="1"/>
      <c r="D776" s="1" t="s">
        <v>5280</v>
      </c>
      <c r="E776" s="1" t="s">
        <v>5281</v>
      </c>
      <c r="F776" s="1" t="s">
        <v>2191</v>
      </c>
      <c r="G776" s="1" t="s">
        <v>1941</v>
      </c>
      <c r="H776" s="1">
        <v>33345.0</v>
      </c>
      <c r="I776" s="3" t="s">
        <v>1942</v>
      </c>
    </row>
    <row r="777" ht="15.75" customHeight="1">
      <c r="A777" s="1" t="s">
        <v>1517</v>
      </c>
      <c r="B777" s="1" t="s">
        <v>5282</v>
      </c>
      <c r="C777" s="1" t="s">
        <v>5283</v>
      </c>
      <c r="D777" s="1" t="s">
        <v>5284</v>
      </c>
      <c r="E777" s="1" t="s">
        <v>5285</v>
      </c>
      <c r="F777" s="1" t="s">
        <v>3785</v>
      </c>
      <c r="G777" s="1" t="s">
        <v>1941</v>
      </c>
      <c r="H777" s="1">
        <v>92191.0</v>
      </c>
      <c r="I777" s="3" t="s">
        <v>1942</v>
      </c>
    </row>
    <row r="778" ht="15.75" customHeight="1">
      <c r="A778" s="1" t="s">
        <v>1519</v>
      </c>
      <c r="B778" s="1" t="s">
        <v>5286</v>
      </c>
      <c r="C778" s="1" t="s">
        <v>5287</v>
      </c>
      <c r="D778" s="1" t="s">
        <v>5288</v>
      </c>
      <c r="E778" s="1" t="s">
        <v>5289</v>
      </c>
      <c r="F778" s="1" t="s">
        <v>2325</v>
      </c>
      <c r="G778" s="1" t="s">
        <v>1941</v>
      </c>
      <c r="H778" s="1">
        <v>75216.0</v>
      </c>
      <c r="I778" s="3" t="s">
        <v>1951</v>
      </c>
    </row>
    <row r="779" ht="15.75" customHeight="1">
      <c r="A779" s="1" t="s">
        <v>1521</v>
      </c>
      <c r="B779" s="1" t="s">
        <v>5290</v>
      </c>
      <c r="C779" s="1" t="s">
        <v>5291</v>
      </c>
      <c r="D779" s="1"/>
      <c r="E779" s="1" t="s">
        <v>5292</v>
      </c>
      <c r="F779" s="1" t="s">
        <v>3325</v>
      </c>
      <c r="G779" s="1" t="s">
        <v>1941</v>
      </c>
      <c r="H779" s="1">
        <v>60435.0</v>
      </c>
      <c r="I779" s="3" t="s">
        <v>1951</v>
      </c>
    </row>
    <row r="780" ht="15.75" customHeight="1">
      <c r="A780" s="1" t="s">
        <v>5293</v>
      </c>
      <c r="B780" s="1" t="s">
        <v>5294</v>
      </c>
      <c r="C780" s="1" t="s">
        <v>5295</v>
      </c>
      <c r="D780" s="1" t="s">
        <v>5296</v>
      </c>
      <c r="E780" s="1" t="s">
        <v>5297</v>
      </c>
      <c r="F780" s="1" t="s">
        <v>2048</v>
      </c>
      <c r="G780" s="1" t="s">
        <v>1941</v>
      </c>
      <c r="H780" s="1">
        <v>49510.0</v>
      </c>
      <c r="I780" s="3" t="s">
        <v>1942</v>
      </c>
    </row>
    <row r="781" ht="15.75" customHeight="1">
      <c r="A781" s="1" t="s">
        <v>1525</v>
      </c>
      <c r="B781" s="1" t="s">
        <v>5298</v>
      </c>
      <c r="C781" s="1" t="s">
        <v>5299</v>
      </c>
      <c r="D781" s="1" t="s">
        <v>5300</v>
      </c>
      <c r="E781" s="1" t="s">
        <v>5301</v>
      </c>
      <c r="F781" s="1" t="s">
        <v>2713</v>
      </c>
      <c r="G781" s="1" t="s">
        <v>1941</v>
      </c>
      <c r="H781" s="1">
        <v>34620.0</v>
      </c>
      <c r="I781" s="3" t="s">
        <v>1942</v>
      </c>
    </row>
    <row r="782" ht="15.75" customHeight="1">
      <c r="A782" s="1" t="s">
        <v>1527</v>
      </c>
      <c r="B782" s="1" t="s">
        <v>5302</v>
      </c>
      <c r="C782" s="1"/>
      <c r="D782" s="1" t="s">
        <v>5303</v>
      </c>
      <c r="E782" s="1" t="s">
        <v>5304</v>
      </c>
      <c r="F782" s="1" t="s">
        <v>2137</v>
      </c>
      <c r="G782" s="1" t="s">
        <v>1941</v>
      </c>
      <c r="H782" s="1">
        <v>55441.0</v>
      </c>
      <c r="I782" s="3" t="s">
        <v>1951</v>
      </c>
    </row>
    <row r="783" ht="15.75" customHeight="1">
      <c r="A783" s="1" t="s">
        <v>1529</v>
      </c>
      <c r="B783" s="1" t="s">
        <v>5305</v>
      </c>
      <c r="C783" s="1" t="s">
        <v>5306</v>
      </c>
      <c r="D783" s="1" t="s">
        <v>5307</v>
      </c>
      <c r="E783" s="1" t="s">
        <v>5308</v>
      </c>
      <c r="F783" s="1" t="s">
        <v>3682</v>
      </c>
      <c r="G783" s="1" t="s">
        <v>1941</v>
      </c>
      <c r="H783" s="1">
        <v>30045.0</v>
      </c>
      <c r="I783" s="3" t="s">
        <v>1951</v>
      </c>
    </row>
    <row r="784" ht="15.75" customHeight="1">
      <c r="A784" s="1" t="s">
        <v>1531</v>
      </c>
      <c r="B784" s="1" t="s">
        <v>5309</v>
      </c>
      <c r="C784" s="1" t="s">
        <v>5310</v>
      </c>
      <c r="D784" s="1" t="s">
        <v>5311</v>
      </c>
      <c r="E784" s="1" t="s">
        <v>5312</v>
      </c>
      <c r="F784" s="1" t="s">
        <v>5313</v>
      </c>
      <c r="G784" s="1" t="s">
        <v>1949</v>
      </c>
      <c r="H784" s="1" t="s">
        <v>5314</v>
      </c>
      <c r="I784" s="3" t="s">
        <v>1951</v>
      </c>
    </row>
    <row r="785" ht="15.75" customHeight="1">
      <c r="A785" s="1" t="s">
        <v>1533</v>
      </c>
      <c r="B785" s="1" t="s">
        <v>5315</v>
      </c>
      <c r="C785" s="1" t="s">
        <v>5316</v>
      </c>
      <c r="D785" s="1" t="s">
        <v>5317</v>
      </c>
      <c r="E785" s="1" t="s">
        <v>5318</v>
      </c>
      <c r="F785" s="1" t="s">
        <v>2220</v>
      </c>
      <c r="G785" s="1" t="s">
        <v>1941</v>
      </c>
      <c r="H785" s="1">
        <v>33673.0</v>
      </c>
      <c r="I785" s="3" t="s">
        <v>1942</v>
      </c>
    </row>
    <row r="786" ht="15.75" customHeight="1">
      <c r="A786" s="1" t="s">
        <v>1535</v>
      </c>
      <c r="B786" s="1" t="s">
        <v>5319</v>
      </c>
      <c r="C786" s="1" t="s">
        <v>5320</v>
      </c>
      <c r="D786" s="1"/>
      <c r="E786" s="1" t="s">
        <v>5321</v>
      </c>
      <c r="F786" s="1" t="s">
        <v>2506</v>
      </c>
      <c r="G786" s="1" t="s">
        <v>1941</v>
      </c>
      <c r="H786" s="1">
        <v>37240.0</v>
      </c>
      <c r="I786" s="3" t="s">
        <v>1951</v>
      </c>
    </row>
    <row r="787" ht="15.75" customHeight="1">
      <c r="A787" s="1" t="s">
        <v>1537</v>
      </c>
      <c r="B787" s="1" t="s">
        <v>5322</v>
      </c>
      <c r="C787" s="1" t="s">
        <v>5323</v>
      </c>
      <c r="D787" s="1" t="s">
        <v>5324</v>
      </c>
      <c r="E787" s="1" t="s">
        <v>5325</v>
      </c>
      <c r="F787" s="1" t="s">
        <v>3581</v>
      </c>
      <c r="G787" s="1" t="s">
        <v>1941</v>
      </c>
      <c r="H787" s="1">
        <v>33175.0</v>
      </c>
      <c r="I787" s="3" t="s">
        <v>1951</v>
      </c>
    </row>
    <row r="788" ht="15.75" customHeight="1">
      <c r="A788" s="1" t="s">
        <v>1523</v>
      </c>
      <c r="B788" s="1" t="s">
        <v>5326</v>
      </c>
      <c r="C788" s="1" t="s">
        <v>5327</v>
      </c>
      <c r="D788" s="1" t="s">
        <v>5328</v>
      </c>
      <c r="E788" s="1" t="s">
        <v>5329</v>
      </c>
      <c r="F788" s="1" t="s">
        <v>1976</v>
      </c>
      <c r="G788" s="1" t="s">
        <v>1941</v>
      </c>
      <c r="H788" s="1">
        <v>45426.0</v>
      </c>
      <c r="I788" s="3" t="s">
        <v>1942</v>
      </c>
    </row>
    <row r="789" ht="15.75" customHeight="1">
      <c r="A789" s="1" t="s">
        <v>1540</v>
      </c>
      <c r="B789" s="1" t="s">
        <v>5330</v>
      </c>
      <c r="C789" s="1"/>
      <c r="D789" s="1" t="s">
        <v>5331</v>
      </c>
      <c r="E789" s="1" t="s">
        <v>5332</v>
      </c>
      <c r="F789" s="1" t="s">
        <v>2252</v>
      </c>
      <c r="G789" s="1" t="s">
        <v>1941</v>
      </c>
      <c r="H789" s="1">
        <v>60686.0</v>
      </c>
      <c r="I789" s="3" t="s">
        <v>1942</v>
      </c>
    </row>
    <row r="790" ht="15.75" customHeight="1">
      <c r="A790" s="1" t="s">
        <v>1542</v>
      </c>
      <c r="B790" s="1" t="s">
        <v>5333</v>
      </c>
      <c r="C790" s="1" t="s">
        <v>5334</v>
      </c>
      <c r="D790" s="1" t="s">
        <v>5335</v>
      </c>
      <c r="E790" s="1" t="s">
        <v>5336</v>
      </c>
      <c r="F790" s="1" t="s">
        <v>5337</v>
      </c>
      <c r="G790" s="1" t="s">
        <v>1949</v>
      </c>
      <c r="H790" s="1" t="s">
        <v>5338</v>
      </c>
      <c r="I790" s="3" t="s">
        <v>1942</v>
      </c>
    </row>
    <row r="791" ht="15.75" customHeight="1">
      <c r="A791" s="1" t="s">
        <v>1544</v>
      </c>
      <c r="B791" s="1" t="s">
        <v>5339</v>
      </c>
      <c r="C791" s="1" t="s">
        <v>5340</v>
      </c>
      <c r="D791" s="1" t="s">
        <v>5341</v>
      </c>
      <c r="E791" s="1" t="s">
        <v>5342</v>
      </c>
      <c r="F791" s="1" t="s">
        <v>2004</v>
      </c>
      <c r="G791" s="1" t="s">
        <v>1941</v>
      </c>
      <c r="H791" s="1">
        <v>94807.0</v>
      </c>
      <c r="I791" s="3" t="s">
        <v>1951</v>
      </c>
    </row>
    <row r="792" ht="15.75" customHeight="1">
      <c r="A792" s="1" t="s">
        <v>1546</v>
      </c>
      <c r="B792" s="1" t="s">
        <v>5343</v>
      </c>
      <c r="C792" s="1" t="s">
        <v>5344</v>
      </c>
      <c r="D792" s="1" t="s">
        <v>5345</v>
      </c>
      <c r="E792" s="1" t="s">
        <v>5346</v>
      </c>
      <c r="F792" s="1" t="s">
        <v>5347</v>
      </c>
      <c r="G792" s="1" t="s">
        <v>1941</v>
      </c>
      <c r="H792" s="1">
        <v>98506.0</v>
      </c>
      <c r="I792" s="3" t="s">
        <v>1951</v>
      </c>
    </row>
    <row r="793" ht="15.75" customHeight="1">
      <c r="A793" s="1" t="s">
        <v>1548</v>
      </c>
      <c r="B793" s="1" t="s">
        <v>5348</v>
      </c>
      <c r="C793" s="1" t="s">
        <v>5349</v>
      </c>
      <c r="D793" s="1" t="s">
        <v>5350</v>
      </c>
      <c r="E793" s="1" t="s">
        <v>5351</v>
      </c>
      <c r="F793" s="1" t="s">
        <v>2668</v>
      </c>
      <c r="G793" s="1" t="s">
        <v>1941</v>
      </c>
      <c r="H793" s="1">
        <v>76011.0</v>
      </c>
      <c r="I793" s="3" t="s">
        <v>1942</v>
      </c>
    </row>
    <row r="794" ht="15.75" customHeight="1">
      <c r="A794" s="1" t="s">
        <v>1550</v>
      </c>
      <c r="B794" s="1" t="s">
        <v>5352</v>
      </c>
      <c r="C794" s="1" t="s">
        <v>5353</v>
      </c>
      <c r="D794" s="1" t="s">
        <v>5354</v>
      </c>
      <c r="E794" s="1" t="s">
        <v>5355</v>
      </c>
      <c r="F794" s="1" t="s">
        <v>5356</v>
      </c>
      <c r="G794" s="1" t="s">
        <v>2116</v>
      </c>
      <c r="H794" s="1" t="s">
        <v>5357</v>
      </c>
      <c r="I794" s="3" t="s">
        <v>1942</v>
      </c>
    </row>
    <row r="795" ht="15.75" customHeight="1">
      <c r="A795" s="1" t="s">
        <v>1552</v>
      </c>
      <c r="B795" s="1" t="s">
        <v>5358</v>
      </c>
      <c r="C795" s="1" t="s">
        <v>5359</v>
      </c>
      <c r="D795" s="1" t="s">
        <v>5360</v>
      </c>
      <c r="E795" s="1" t="s">
        <v>5361</v>
      </c>
      <c r="F795" s="1" t="s">
        <v>2643</v>
      </c>
      <c r="G795" s="1" t="s">
        <v>1941</v>
      </c>
      <c r="H795" s="1">
        <v>24009.0</v>
      </c>
      <c r="I795" s="3" t="s">
        <v>1951</v>
      </c>
    </row>
    <row r="796" ht="15.75" customHeight="1">
      <c r="A796" s="1" t="s">
        <v>1554</v>
      </c>
      <c r="B796" s="1" t="s">
        <v>5362</v>
      </c>
      <c r="C796" s="1" t="s">
        <v>5363</v>
      </c>
      <c r="D796" s="1" t="s">
        <v>5364</v>
      </c>
      <c r="E796" s="1" t="s">
        <v>5365</v>
      </c>
      <c r="F796" s="1" t="s">
        <v>5366</v>
      </c>
      <c r="G796" s="1" t="s">
        <v>1941</v>
      </c>
      <c r="H796" s="1">
        <v>11044.0</v>
      </c>
      <c r="I796" s="3" t="s">
        <v>1951</v>
      </c>
    </row>
    <row r="797" ht="15.75" customHeight="1">
      <c r="A797" s="1" t="s">
        <v>1556</v>
      </c>
      <c r="B797" s="1" t="s">
        <v>5367</v>
      </c>
      <c r="C797" s="1" t="s">
        <v>5368</v>
      </c>
      <c r="D797" s="1" t="s">
        <v>5369</v>
      </c>
      <c r="E797" s="1" t="s">
        <v>5370</v>
      </c>
      <c r="F797" s="1" t="s">
        <v>3589</v>
      </c>
      <c r="G797" s="1" t="s">
        <v>1941</v>
      </c>
      <c r="H797" s="1">
        <v>92825.0</v>
      </c>
      <c r="I797" s="3" t="s">
        <v>1951</v>
      </c>
    </row>
    <row r="798" ht="15.75" customHeight="1">
      <c r="A798" s="1" t="s">
        <v>1558</v>
      </c>
      <c r="B798" s="1" t="s">
        <v>5371</v>
      </c>
      <c r="C798" s="1"/>
      <c r="D798" s="1" t="s">
        <v>5372</v>
      </c>
      <c r="E798" s="1" t="s">
        <v>5373</v>
      </c>
      <c r="F798" s="1" t="s">
        <v>3320</v>
      </c>
      <c r="G798" s="1" t="s">
        <v>1941</v>
      </c>
      <c r="H798" s="1">
        <v>40596.0</v>
      </c>
      <c r="I798" s="3" t="s">
        <v>1951</v>
      </c>
    </row>
    <row r="799" ht="15.75" customHeight="1">
      <c r="A799" s="1" t="s">
        <v>1560</v>
      </c>
      <c r="B799" s="1" t="s">
        <v>5374</v>
      </c>
      <c r="C799" s="1" t="s">
        <v>5375</v>
      </c>
      <c r="D799" s="1" t="s">
        <v>5376</v>
      </c>
      <c r="E799" s="1" t="s">
        <v>5377</v>
      </c>
      <c r="F799" s="1" t="s">
        <v>2220</v>
      </c>
      <c r="G799" s="1" t="s">
        <v>1941</v>
      </c>
      <c r="H799" s="1">
        <v>33673.0</v>
      </c>
      <c r="I799" s="3" t="s">
        <v>1951</v>
      </c>
    </row>
    <row r="800" ht="15.75" customHeight="1">
      <c r="A800" s="1" t="s">
        <v>1562</v>
      </c>
      <c r="B800" s="1" t="s">
        <v>5378</v>
      </c>
      <c r="C800" s="1" t="s">
        <v>5379</v>
      </c>
      <c r="D800" s="1" t="s">
        <v>5380</v>
      </c>
      <c r="E800" s="1" t="s">
        <v>5381</v>
      </c>
      <c r="F800" s="1" t="s">
        <v>1995</v>
      </c>
      <c r="G800" s="1" t="s">
        <v>1941</v>
      </c>
      <c r="H800" s="1">
        <v>95138.0</v>
      </c>
      <c r="I800" s="3" t="s">
        <v>1942</v>
      </c>
    </row>
    <row r="801" ht="15.75" customHeight="1">
      <c r="A801" s="1" t="s">
        <v>1564</v>
      </c>
      <c r="B801" s="1" t="s">
        <v>5382</v>
      </c>
      <c r="C801" s="1"/>
      <c r="D801" s="1"/>
      <c r="E801" s="1" t="s">
        <v>5383</v>
      </c>
      <c r="F801" s="1" t="s">
        <v>2186</v>
      </c>
      <c r="G801" s="1" t="s">
        <v>1941</v>
      </c>
      <c r="H801" s="1">
        <v>20470.0</v>
      </c>
      <c r="I801" s="3" t="s">
        <v>1942</v>
      </c>
    </row>
    <row r="802" ht="15.75" customHeight="1">
      <c r="A802" s="1" t="s">
        <v>1566</v>
      </c>
      <c r="B802" s="1" t="s">
        <v>5384</v>
      </c>
      <c r="C802" s="1" t="s">
        <v>5385</v>
      </c>
      <c r="D802" s="1" t="s">
        <v>5386</v>
      </c>
      <c r="E802" s="1" t="s">
        <v>5387</v>
      </c>
      <c r="F802" s="1" t="s">
        <v>4416</v>
      </c>
      <c r="G802" s="1" t="s">
        <v>1949</v>
      </c>
      <c r="H802" s="1" t="s">
        <v>4417</v>
      </c>
      <c r="I802" s="3" t="s">
        <v>1951</v>
      </c>
    </row>
    <row r="803" ht="15.75" customHeight="1">
      <c r="A803" s="1" t="s">
        <v>1568</v>
      </c>
      <c r="B803" s="1" t="s">
        <v>5388</v>
      </c>
      <c r="C803" s="1" t="s">
        <v>5389</v>
      </c>
      <c r="D803" s="1" t="s">
        <v>5390</v>
      </c>
      <c r="E803" s="1" t="s">
        <v>5391</v>
      </c>
      <c r="F803" s="1" t="s">
        <v>5347</v>
      </c>
      <c r="G803" s="1" t="s">
        <v>1941</v>
      </c>
      <c r="H803" s="1">
        <v>98506.0</v>
      </c>
      <c r="I803" s="3" t="s">
        <v>1942</v>
      </c>
    </row>
    <row r="804" ht="15.75" customHeight="1">
      <c r="A804" s="1" t="s">
        <v>1570</v>
      </c>
      <c r="B804" s="1" t="s">
        <v>5392</v>
      </c>
      <c r="C804" s="1" t="s">
        <v>5393</v>
      </c>
      <c r="D804" s="1" t="s">
        <v>5394</v>
      </c>
      <c r="E804" s="1" t="s">
        <v>5395</v>
      </c>
      <c r="F804" s="1" t="s">
        <v>5396</v>
      </c>
      <c r="G804" s="1" t="s">
        <v>1941</v>
      </c>
      <c r="H804" s="1">
        <v>75185.0</v>
      </c>
      <c r="I804" s="3" t="s">
        <v>1951</v>
      </c>
    </row>
    <row r="805" ht="15.75" customHeight="1">
      <c r="A805" s="1" t="s">
        <v>1572</v>
      </c>
      <c r="B805" s="1" t="s">
        <v>5397</v>
      </c>
      <c r="C805" s="1" t="s">
        <v>5398</v>
      </c>
      <c r="D805" s="1"/>
      <c r="E805" s="1" t="s">
        <v>5399</v>
      </c>
      <c r="F805" s="1" t="s">
        <v>2999</v>
      </c>
      <c r="G805" s="1" t="s">
        <v>1941</v>
      </c>
      <c r="H805" s="1">
        <v>94207.0</v>
      </c>
      <c r="I805" s="3" t="s">
        <v>1951</v>
      </c>
    </row>
    <row r="806" ht="15.75" customHeight="1">
      <c r="A806" s="1" t="s">
        <v>1574</v>
      </c>
      <c r="B806" s="1" t="s">
        <v>5400</v>
      </c>
      <c r="C806" s="1"/>
      <c r="D806" s="1" t="s">
        <v>5401</v>
      </c>
      <c r="E806" s="1" t="s">
        <v>5402</v>
      </c>
      <c r="F806" s="1" t="s">
        <v>3164</v>
      </c>
      <c r="G806" s="1" t="s">
        <v>2116</v>
      </c>
      <c r="H806" s="1" t="s">
        <v>3165</v>
      </c>
      <c r="I806" s="3" t="s">
        <v>1951</v>
      </c>
    </row>
    <row r="807" ht="15.75" customHeight="1">
      <c r="A807" s="1" t="s">
        <v>1576</v>
      </c>
      <c r="B807" s="1" t="s">
        <v>5403</v>
      </c>
      <c r="C807" s="1"/>
      <c r="D807" s="1" t="s">
        <v>5404</v>
      </c>
      <c r="E807" s="1" t="s">
        <v>5405</v>
      </c>
      <c r="F807" s="1" t="s">
        <v>5406</v>
      </c>
      <c r="G807" s="1" t="s">
        <v>1941</v>
      </c>
      <c r="H807" s="1">
        <v>55590.0</v>
      </c>
      <c r="I807" s="3" t="s">
        <v>1951</v>
      </c>
    </row>
    <row r="808" ht="15.75" customHeight="1">
      <c r="A808" s="1" t="s">
        <v>1578</v>
      </c>
      <c r="B808" s="1" t="s">
        <v>5407</v>
      </c>
      <c r="C808" s="1"/>
      <c r="D808" s="1"/>
      <c r="E808" s="1" t="s">
        <v>5408</v>
      </c>
      <c r="F808" s="1" t="s">
        <v>2199</v>
      </c>
      <c r="G808" s="1" t="s">
        <v>2116</v>
      </c>
      <c r="H808" s="1" t="s">
        <v>2200</v>
      </c>
      <c r="I808" s="3" t="s">
        <v>1942</v>
      </c>
    </row>
    <row r="809" ht="15.75" customHeight="1">
      <c r="A809" s="1" t="s">
        <v>1580</v>
      </c>
      <c r="B809" s="1" t="s">
        <v>5409</v>
      </c>
      <c r="C809" s="1" t="s">
        <v>5410</v>
      </c>
      <c r="D809" s="1" t="s">
        <v>5411</v>
      </c>
      <c r="E809" s="1" t="s">
        <v>5412</v>
      </c>
      <c r="F809" s="1" t="s">
        <v>3763</v>
      </c>
      <c r="G809" s="1" t="s">
        <v>1949</v>
      </c>
      <c r="H809" s="1" t="s">
        <v>3764</v>
      </c>
      <c r="I809" s="3" t="s">
        <v>1951</v>
      </c>
    </row>
    <row r="810" ht="15.75" customHeight="1">
      <c r="A810" s="1" t="s">
        <v>5413</v>
      </c>
      <c r="B810" s="1" t="s">
        <v>5414</v>
      </c>
      <c r="C810" s="1" t="s">
        <v>5415</v>
      </c>
      <c r="D810" s="1" t="s">
        <v>5416</v>
      </c>
      <c r="E810" s="1" t="s">
        <v>5417</v>
      </c>
      <c r="F810" s="1" t="s">
        <v>2099</v>
      </c>
      <c r="G810" s="1" t="s">
        <v>1941</v>
      </c>
      <c r="H810" s="1">
        <v>11499.0</v>
      </c>
      <c r="I810" s="3" t="s">
        <v>1942</v>
      </c>
    </row>
    <row r="811" ht="15.75" customHeight="1">
      <c r="A811" s="1" t="s">
        <v>1584</v>
      </c>
      <c r="B811" s="1" t="s">
        <v>5418</v>
      </c>
      <c r="C811" s="1"/>
      <c r="D811" s="1" t="s">
        <v>5419</v>
      </c>
      <c r="E811" s="1" t="s">
        <v>5420</v>
      </c>
      <c r="F811" s="1" t="s">
        <v>2448</v>
      </c>
      <c r="G811" s="1" t="s">
        <v>1941</v>
      </c>
      <c r="H811" s="1">
        <v>79934.0</v>
      </c>
      <c r="I811" s="3" t="s">
        <v>1942</v>
      </c>
    </row>
    <row r="812" ht="15.75" customHeight="1">
      <c r="A812" s="1" t="s">
        <v>1586</v>
      </c>
      <c r="B812" s="1" t="s">
        <v>5421</v>
      </c>
      <c r="C812" s="1" t="s">
        <v>5422</v>
      </c>
      <c r="D812" s="1" t="s">
        <v>5423</v>
      </c>
      <c r="E812" s="1" t="s">
        <v>5424</v>
      </c>
      <c r="F812" s="1" t="s">
        <v>5425</v>
      </c>
      <c r="G812" s="1" t="s">
        <v>1941</v>
      </c>
      <c r="H812" s="1">
        <v>34643.0</v>
      </c>
      <c r="I812" s="3" t="s">
        <v>1951</v>
      </c>
    </row>
    <row r="813" ht="15.75" customHeight="1">
      <c r="A813" s="1" t="s">
        <v>1588</v>
      </c>
      <c r="B813" s="1" t="s">
        <v>5426</v>
      </c>
      <c r="C813" s="1" t="s">
        <v>5427</v>
      </c>
      <c r="D813" s="1" t="s">
        <v>5428</v>
      </c>
      <c r="E813" s="1" t="s">
        <v>5429</v>
      </c>
      <c r="F813" s="1" t="s">
        <v>5430</v>
      </c>
      <c r="G813" s="1" t="s">
        <v>1949</v>
      </c>
      <c r="H813" s="1" t="s">
        <v>2083</v>
      </c>
      <c r="I813" s="3" t="s">
        <v>1942</v>
      </c>
    </row>
    <row r="814" ht="15.75" customHeight="1">
      <c r="A814" s="1" t="s">
        <v>5431</v>
      </c>
      <c r="B814" s="1" t="s">
        <v>5432</v>
      </c>
      <c r="C814" s="1" t="s">
        <v>5433</v>
      </c>
      <c r="D814" s="1" t="s">
        <v>5434</v>
      </c>
      <c r="E814" s="1" t="s">
        <v>5435</v>
      </c>
      <c r="F814" s="1" t="s">
        <v>5436</v>
      </c>
      <c r="G814" s="1" t="s">
        <v>2116</v>
      </c>
      <c r="H814" s="1" t="s">
        <v>5437</v>
      </c>
      <c r="I814" s="3" t="s">
        <v>1942</v>
      </c>
    </row>
    <row r="815" ht="15.75" customHeight="1">
      <c r="A815" s="1" t="s">
        <v>1590</v>
      </c>
      <c r="B815" s="1" t="s">
        <v>5438</v>
      </c>
      <c r="C815" s="1" t="s">
        <v>5439</v>
      </c>
      <c r="D815" s="1" t="s">
        <v>5440</v>
      </c>
      <c r="E815" s="1" t="s">
        <v>5441</v>
      </c>
      <c r="F815" s="1" t="s">
        <v>2362</v>
      </c>
      <c r="G815" s="1" t="s">
        <v>1941</v>
      </c>
      <c r="H815" s="1">
        <v>73179.0</v>
      </c>
      <c r="I815" s="3" t="s">
        <v>1942</v>
      </c>
    </row>
    <row r="816" ht="15.75" customHeight="1">
      <c r="A816" s="1" t="s">
        <v>1592</v>
      </c>
      <c r="B816" s="1" t="s">
        <v>5442</v>
      </c>
      <c r="C816" s="1" t="s">
        <v>5443</v>
      </c>
      <c r="D816" s="1" t="s">
        <v>5444</v>
      </c>
      <c r="E816" s="1" t="s">
        <v>5445</v>
      </c>
      <c r="F816" s="1" t="s">
        <v>2186</v>
      </c>
      <c r="G816" s="1" t="s">
        <v>1941</v>
      </c>
      <c r="H816" s="1">
        <v>20051.0</v>
      </c>
      <c r="I816" s="3" t="s">
        <v>1951</v>
      </c>
    </row>
    <row r="817" ht="15.75" customHeight="1">
      <c r="A817" s="1" t="s">
        <v>1594</v>
      </c>
      <c r="B817" s="1" t="s">
        <v>5446</v>
      </c>
      <c r="C817" s="1" t="s">
        <v>5447</v>
      </c>
      <c r="D817" s="1" t="s">
        <v>5448</v>
      </c>
      <c r="E817" s="1" t="s">
        <v>5449</v>
      </c>
      <c r="F817" s="1" t="s">
        <v>3049</v>
      </c>
      <c r="G817" s="1" t="s">
        <v>1941</v>
      </c>
      <c r="H817" s="1">
        <v>30351.0</v>
      </c>
      <c r="I817" s="3" t="s">
        <v>1951</v>
      </c>
    </row>
    <row r="818" ht="15.75" customHeight="1">
      <c r="A818" s="1" t="s">
        <v>1596</v>
      </c>
      <c r="B818" s="1" t="s">
        <v>5450</v>
      </c>
      <c r="C818" s="1" t="s">
        <v>5451</v>
      </c>
      <c r="D818" s="1" t="s">
        <v>5452</v>
      </c>
      <c r="E818" s="1" t="s">
        <v>5453</v>
      </c>
      <c r="F818" s="1" t="s">
        <v>2704</v>
      </c>
      <c r="G818" s="1" t="s">
        <v>1949</v>
      </c>
      <c r="H818" s="1" t="s">
        <v>2705</v>
      </c>
      <c r="I818" s="3" t="s">
        <v>1951</v>
      </c>
    </row>
    <row r="819" ht="15.75" customHeight="1">
      <c r="A819" s="1" t="s">
        <v>1598</v>
      </c>
      <c r="B819" s="1" t="s">
        <v>5454</v>
      </c>
      <c r="C819" s="1" t="s">
        <v>5455</v>
      </c>
      <c r="D819" s="1"/>
      <c r="E819" s="1" t="s">
        <v>5456</v>
      </c>
      <c r="F819" s="1" t="s">
        <v>2350</v>
      </c>
      <c r="G819" s="1" t="s">
        <v>1941</v>
      </c>
      <c r="H819" s="1">
        <v>14276.0</v>
      </c>
      <c r="I819" s="3" t="s">
        <v>1951</v>
      </c>
    </row>
    <row r="820" ht="15.75" customHeight="1">
      <c r="A820" s="1" t="s">
        <v>1582</v>
      </c>
      <c r="B820" s="1" t="s">
        <v>5457</v>
      </c>
      <c r="C820" s="1"/>
      <c r="D820" s="1" t="s">
        <v>5458</v>
      </c>
      <c r="E820" s="1" t="s">
        <v>5459</v>
      </c>
      <c r="F820" s="1" t="s">
        <v>2027</v>
      </c>
      <c r="G820" s="1" t="s">
        <v>1941</v>
      </c>
      <c r="H820" s="1">
        <v>77260.0</v>
      </c>
      <c r="I820" s="3" t="s">
        <v>1951</v>
      </c>
    </row>
    <row r="821" ht="15.75" customHeight="1">
      <c r="A821" s="1" t="s">
        <v>1601</v>
      </c>
      <c r="B821" s="1" t="s">
        <v>5460</v>
      </c>
      <c r="C821" s="1" t="s">
        <v>5461</v>
      </c>
      <c r="D821" s="1" t="s">
        <v>5462</v>
      </c>
      <c r="E821" s="1" t="s">
        <v>5463</v>
      </c>
      <c r="F821" s="1" t="s">
        <v>2186</v>
      </c>
      <c r="G821" s="1" t="s">
        <v>1941</v>
      </c>
      <c r="H821" s="1">
        <v>20470.0</v>
      </c>
      <c r="I821" s="3" t="s">
        <v>1942</v>
      </c>
    </row>
    <row r="822" ht="15.75" customHeight="1">
      <c r="A822" s="1" t="s">
        <v>1603</v>
      </c>
      <c r="B822" s="1" t="s">
        <v>5464</v>
      </c>
      <c r="C822" s="1" t="s">
        <v>5465</v>
      </c>
      <c r="D822" s="1" t="s">
        <v>5466</v>
      </c>
      <c r="E822" s="1" t="s">
        <v>5467</v>
      </c>
      <c r="F822" s="1" t="s">
        <v>2387</v>
      </c>
      <c r="G822" s="1" t="s">
        <v>1941</v>
      </c>
      <c r="H822" s="1">
        <v>78764.0</v>
      </c>
      <c r="I822" s="3" t="s">
        <v>1942</v>
      </c>
    </row>
    <row r="823" ht="15.75" customHeight="1">
      <c r="A823" s="1" t="s">
        <v>1605</v>
      </c>
      <c r="B823" s="1" t="s">
        <v>5468</v>
      </c>
      <c r="C823" s="1" t="s">
        <v>5469</v>
      </c>
      <c r="D823" s="1" t="s">
        <v>5470</v>
      </c>
      <c r="E823" s="1" t="s">
        <v>5471</v>
      </c>
      <c r="F823" s="1" t="s">
        <v>2835</v>
      </c>
      <c r="G823" s="1" t="s">
        <v>1941</v>
      </c>
      <c r="H823" s="1">
        <v>85205.0</v>
      </c>
      <c r="I823" s="3" t="s">
        <v>1951</v>
      </c>
    </row>
    <row r="824" ht="15.75" customHeight="1">
      <c r="A824" s="1" t="s">
        <v>1607</v>
      </c>
      <c r="B824" s="1" t="s">
        <v>5472</v>
      </c>
      <c r="C824" s="1" t="s">
        <v>5473</v>
      </c>
      <c r="D824" s="1" t="s">
        <v>5474</v>
      </c>
      <c r="E824" s="1" t="s">
        <v>5475</v>
      </c>
      <c r="F824" s="1" t="s">
        <v>5476</v>
      </c>
      <c r="G824" s="1" t="s">
        <v>1941</v>
      </c>
      <c r="H824" s="1">
        <v>31416.0</v>
      </c>
      <c r="I824" s="3" t="s">
        <v>1951</v>
      </c>
    </row>
    <row r="825" ht="15.75" customHeight="1">
      <c r="A825" s="1" t="s">
        <v>1609</v>
      </c>
      <c r="B825" s="1" t="s">
        <v>5477</v>
      </c>
      <c r="C825" s="1" t="s">
        <v>5478</v>
      </c>
      <c r="D825" s="1" t="s">
        <v>5479</v>
      </c>
      <c r="E825" s="1" t="s">
        <v>5480</v>
      </c>
      <c r="F825" s="1" t="s">
        <v>5481</v>
      </c>
      <c r="G825" s="1" t="s">
        <v>1941</v>
      </c>
      <c r="H825" s="1">
        <v>87140.0</v>
      </c>
      <c r="I825" s="3" t="s">
        <v>1942</v>
      </c>
    </row>
    <row r="826" ht="15.75" customHeight="1">
      <c r="A826" s="1" t="s">
        <v>1611</v>
      </c>
      <c r="B826" s="1" t="s">
        <v>5482</v>
      </c>
      <c r="C826" s="1" t="s">
        <v>5483</v>
      </c>
      <c r="D826" s="1"/>
      <c r="E826" s="1" t="s">
        <v>5484</v>
      </c>
      <c r="F826" s="1" t="s">
        <v>2300</v>
      </c>
      <c r="G826" s="1" t="s">
        <v>1941</v>
      </c>
      <c r="H826" s="1">
        <v>28299.0</v>
      </c>
      <c r="I826" s="3" t="s">
        <v>1942</v>
      </c>
    </row>
    <row r="827" ht="15.75" customHeight="1">
      <c r="A827" s="1" t="s">
        <v>5485</v>
      </c>
      <c r="B827" s="1" t="s">
        <v>5486</v>
      </c>
      <c r="C827" s="1" t="s">
        <v>5487</v>
      </c>
      <c r="D827" s="1" t="s">
        <v>5488</v>
      </c>
      <c r="E827" s="1" t="s">
        <v>5489</v>
      </c>
      <c r="F827" s="1" t="s">
        <v>3785</v>
      </c>
      <c r="G827" s="1" t="s">
        <v>1941</v>
      </c>
      <c r="H827" s="1">
        <v>92191.0</v>
      </c>
      <c r="I827" s="3" t="s">
        <v>1942</v>
      </c>
    </row>
    <row r="828" ht="15.75" customHeight="1">
      <c r="A828" s="1" t="s">
        <v>1615</v>
      </c>
      <c r="B828" s="1" t="s">
        <v>5490</v>
      </c>
      <c r="C828" s="1" t="s">
        <v>5491</v>
      </c>
      <c r="D828" s="1" t="s">
        <v>5492</v>
      </c>
      <c r="E828" s="1" t="s">
        <v>5493</v>
      </c>
      <c r="F828" s="1" t="s">
        <v>2225</v>
      </c>
      <c r="G828" s="1" t="s">
        <v>1941</v>
      </c>
      <c r="H828" s="1">
        <v>32575.0</v>
      </c>
      <c r="I828" s="3" t="s">
        <v>1942</v>
      </c>
    </row>
    <row r="829" ht="15.75" customHeight="1">
      <c r="A829" s="1" t="s">
        <v>1617</v>
      </c>
      <c r="B829" s="1" t="s">
        <v>5494</v>
      </c>
      <c r="C829" s="1" t="s">
        <v>5495</v>
      </c>
      <c r="D829" s="1" t="s">
        <v>5496</v>
      </c>
      <c r="E829" s="1" t="s">
        <v>5497</v>
      </c>
      <c r="F829" s="1" t="s">
        <v>2186</v>
      </c>
      <c r="G829" s="1" t="s">
        <v>1941</v>
      </c>
      <c r="H829" s="1">
        <v>20470.0</v>
      </c>
      <c r="I829" s="3" t="s">
        <v>1951</v>
      </c>
    </row>
    <row r="830" ht="15.75" customHeight="1">
      <c r="A830" s="1" t="s">
        <v>1619</v>
      </c>
      <c r="B830" s="1" t="s">
        <v>5498</v>
      </c>
      <c r="C830" s="1" t="s">
        <v>5499</v>
      </c>
      <c r="D830" s="1" t="s">
        <v>5500</v>
      </c>
      <c r="E830" s="1" t="s">
        <v>5501</v>
      </c>
      <c r="F830" s="1" t="s">
        <v>5502</v>
      </c>
      <c r="G830" s="1" t="s">
        <v>1941</v>
      </c>
      <c r="H830" s="1">
        <v>34985.0</v>
      </c>
      <c r="I830" s="3" t="s">
        <v>1942</v>
      </c>
    </row>
    <row r="831" ht="15.75" customHeight="1">
      <c r="A831" s="1" t="s">
        <v>1621</v>
      </c>
      <c r="B831" s="1" t="s">
        <v>5503</v>
      </c>
      <c r="C831" s="1" t="s">
        <v>5504</v>
      </c>
      <c r="D831" s="1" t="s">
        <v>5505</v>
      </c>
      <c r="E831" s="1" t="s">
        <v>5506</v>
      </c>
      <c r="F831" s="1" t="s">
        <v>2481</v>
      </c>
      <c r="G831" s="1" t="s">
        <v>1941</v>
      </c>
      <c r="H831" s="1">
        <v>25705.0</v>
      </c>
      <c r="I831" s="3" t="s">
        <v>1951</v>
      </c>
    </row>
    <row r="832" ht="15.75" customHeight="1">
      <c r="A832" s="1" t="s">
        <v>1623</v>
      </c>
      <c r="B832" s="1" t="s">
        <v>5507</v>
      </c>
      <c r="C832" s="1" t="s">
        <v>5508</v>
      </c>
      <c r="D832" s="1" t="s">
        <v>5509</v>
      </c>
      <c r="E832" s="1" t="s">
        <v>5510</v>
      </c>
      <c r="F832" s="1" t="s">
        <v>2017</v>
      </c>
      <c r="G832" s="1" t="s">
        <v>1941</v>
      </c>
      <c r="H832" s="1">
        <v>19172.0</v>
      </c>
      <c r="I832" s="3" t="s">
        <v>1951</v>
      </c>
    </row>
    <row r="833" ht="15.75" customHeight="1">
      <c r="A833" s="1" t="s">
        <v>1613</v>
      </c>
      <c r="B833" s="1" t="s">
        <v>5511</v>
      </c>
      <c r="C833" s="1" t="s">
        <v>5512</v>
      </c>
      <c r="D833" s="1" t="s">
        <v>5513</v>
      </c>
      <c r="E833" s="1" t="s">
        <v>5514</v>
      </c>
      <c r="F833" s="1" t="s">
        <v>2362</v>
      </c>
      <c r="G833" s="1" t="s">
        <v>1941</v>
      </c>
      <c r="H833" s="1">
        <v>73167.0</v>
      </c>
      <c r="I833" s="3" t="s">
        <v>1942</v>
      </c>
    </row>
    <row r="834" ht="15.75" customHeight="1">
      <c r="A834" s="1" t="s">
        <v>1625</v>
      </c>
      <c r="B834" s="1" t="s">
        <v>5515</v>
      </c>
      <c r="C834" s="1" t="s">
        <v>5516</v>
      </c>
      <c r="D834" s="1" t="s">
        <v>5517</v>
      </c>
      <c r="E834" s="1" t="s">
        <v>5518</v>
      </c>
      <c r="F834" s="1" t="s">
        <v>2247</v>
      </c>
      <c r="G834" s="1" t="s">
        <v>1941</v>
      </c>
      <c r="H834" s="1">
        <v>34114.0</v>
      </c>
      <c r="I834" s="3" t="s">
        <v>1951</v>
      </c>
    </row>
    <row r="835" ht="15.75" customHeight="1">
      <c r="A835" s="1" t="s">
        <v>1627</v>
      </c>
      <c r="B835" s="1" t="s">
        <v>5519</v>
      </c>
      <c r="C835" s="1" t="s">
        <v>5520</v>
      </c>
      <c r="D835" s="1" t="s">
        <v>5521</v>
      </c>
      <c r="E835" s="1" t="s">
        <v>5522</v>
      </c>
      <c r="F835" s="1" t="s">
        <v>2266</v>
      </c>
      <c r="G835" s="1" t="s">
        <v>1941</v>
      </c>
      <c r="H835" s="1">
        <v>76105.0</v>
      </c>
      <c r="I835" s="3" t="s">
        <v>1942</v>
      </c>
    </row>
    <row r="836" ht="15.75" customHeight="1">
      <c r="A836" s="1" t="s">
        <v>1629</v>
      </c>
      <c r="B836" s="1" t="s">
        <v>5523</v>
      </c>
      <c r="C836" s="1" t="s">
        <v>5524</v>
      </c>
      <c r="D836" s="1" t="s">
        <v>5525</v>
      </c>
      <c r="E836" s="1" t="s">
        <v>5526</v>
      </c>
      <c r="F836" s="1" t="s">
        <v>5527</v>
      </c>
      <c r="G836" s="1" t="s">
        <v>1941</v>
      </c>
      <c r="H836" s="1">
        <v>68117.0</v>
      </c>
      <c r="I836" s="3" t="s">
        <v>1951</v>
      </c>
    </row>
    <row r="837" ht="15.75" customHeight="1">
      <c r="A837" s="1" t="s">
        <v>1631</v>
      </c>
      <c r="B837" s="1" t="s">
        <v>5528</v>
      </c>
      <c r="C837" s="1" t="s">
        <v>5529</v>
      </c>
      <c r="D837" s="1"/>
      <c r="E837" s="1" t="s">
        <v>5530</v>
      </c>
      <c r="F837" s="1" t="s">
        <v>2140</v>
      </c>
      <c r="G837" s="1" t="s">
        <v>1941</v>
      </c>
      <c r="H837" s="1">
        <v>85732.0</v>
      </c>
      <c r="I837" s="3" t="s">
        <v>1942</v>
      </c>
    </row>
    <row r="838" ht="15.75" customHeight="1">
      <c r="A838" s="1" t="s">
        <v>1633</v>
      </c>
      <c r="B838" s="1" t="s">
        <v>5531</v>
      </c>
      <c r="C838" s="1" t="s">
        <v>5532</v>
      </c>
      <c r="D838" s="1" t="s">
        <v>5533</v>
      </c>
      <c r="E838" s="1" t="s">
        <v>5534</v>
      </c>
      <c r="F838" s="1" t="s">
        <v>2748</v>
      </c>
      <c r="G838" s="1" t="s">
        <v>1941</v>
      </c>
      <c r="H838" s="1">
        <v>89436.0</v>
      </c>
      <c r="I838" s="3" t="s">
        <v>1951</v>
      </c>
    </row>
    <row r="839" ht="15.75" customHeight="1">
      <c r="A839" s="1" t="s">
        <v>5535</v>
      </c>
      <c r="B839" s="1" t="s">
        <v>5536</v>
      </c>
      <c r="C839" s="1" t="s">
        <v>5537</v>
      </c>
      <c r="D839" s="1" t="s">
        <v>5538</v>
      </c>
      <c r="E839" s="1" t="s">
        <v>5539</v>
      </c>
      <c r="F839" s="1" t="s">
        <v>4401</v>
      </c>
      <c r="G839" s="1" t="s">
        <v>1941</v>
      </c>
      <c r="H839" s="1">
        <v>32835.0</v>
      </c>
      <c r="I839" s="3" t="s">
        <v>1942</v>
      </c>
    </row>
    <row r="840" ht="15.75" customHeight="1">
      <c r="A840" s="1" t="s">
        <v>1636</v>
      </c>
      <c r="B840" s="1" t="s">
        <v>5540</v>
      </c>
      <c r="C840" s="1" t="s">
        <v>5541</v>
      </c>
      <c r="D840" s="1" t="s">
        <v>5542</v>
      </c>
      <c r="E840" s="1" t="s">
        <v>5543</v>
      </c>
      <c r="F840" s="1" t="s">
        <v>2186</v>
      </c>
      <c r="G840" s="1" t="s">
        <v>1941</v>
      </c>
      <c r="H840" s="1">
        <v>20067.0</v>
      </c>
      <c r="I840" s="3" t="s">
        <v>1951</v>
      </c>
    </row>
    <row r="841" ht="15.75" customHeight="1">
      <c r="A841" s="1" t="s">
        <v>1638</v>
      </c>
      <c r="B841" s="1" t="s">
        <v>5544</v>
      </c>
      <c r="C841" s="1" t="s">
        <v>5545</v>
      </c>
      <c r="D841" s="1" t="s">
        <v>5546</v>
      </c>
      <c r="E841" s="1" t="s">
        <v>5547</v>
      </c>
      <c r="F841" s="1" t="s">
        <v>5548</v>
      </c>
      <c r="G841" s="1" t="s">
        <v>1941</v>
      </c>
      <c r="H841" s="1">
        <v>93907.0</v>
      </c>
      <c r="I841" s="3" t="s">
        <v>1951</v>
      </c>
    </row>
    <row r="842" ht="15.75" customHeight="1">
      <c r="A842" s="1" t="s">
        <v>1640</v>
      </c>
      <c r="B842" s="1" t="s">
        <v>5549</v>
      </c>
      <c r="C842" s="1" t="s">
        <v>5550</v>
      </c>
      <c r="D842" s="1" t="s">
        <v>5551</v>
      </c>
      <c r="E842" s="1" t="s">
        <v>5552</v>
      </c>
      <c r="F842" s="1" t="s">
        <v>2191</v>
      </c>
      <c r="G842" s="1" t="s">
        <v>1941</v>
      </c>
      <c r="H842" s="1">
        <v>33345.0</v>
      </c>
      <c r="I842" s="3" t="s">
        <v>1942</v>
      </c>
    </row>
    <row r="843" ht="15.75" customHeight="1">
      <c r="A843" s="1" t="s">
        <v>1642</v>
      </c>
      <c r="B843" s="1" t="s">
        <v>5553</v>
      </c>
      <c r="C843" s="1" t="s">
        <v>5554</v>
      </c>
      <c r="D843" s="1"/>
      <c r="E843" s="1" t="s">
        <v>5555</v>
      </c>
      <c r="F843" s="1" t="s">
        <v>2448</v>
      </c>
      <c r="G843" s="1" t="s">
        <v>1941</v>
      </c>
      <c r="H843" s="1">
        <v>88553.0</v>
      </c>
      <c r="I843" s="3" t="s">
        <v>1951</v>
      </c>
    </row>
    <row r="844" ht="15.75" customHeight="1">
      <c r="A844" s="1" t="s">
        <v>5556</v>
      </c>
      <c r="B844" s="1" t="s">
        <v>5557</v>
      </c>
      <c r="C844" s="1" t="s">
        <v>5558</v>
      </c>
      <c r="D844" s="1"/>
      <c r="E844" s="1" t="s">
        <v>5559</v>
      </c>
      <c r="F844" s="1" t="s">
        <v>5560</v>
      </c>
      <c r="G844" s="1" t="s">
        <v>1941</v>
      </c>
      <c r="H844" s="1">
        <v>91210.0</v>
      </c>
      <c r="I844" s="3" t="s">
        <v>1942</v>
      </c>
    </row>
    <row r="845" ht="15.75" customHeight="1">
      <c r="A845" s="1" t="s">
        <v>1645</v>
      </c>
      <c r="B845" s="1" t="s">
        <v>5561</v>
      </c>
      <c r="C845" s="1" t="s">
        <v>5562</v>
      </c>
      <c r="D845" s="1" t="s">
        <v>5563</v>
      </c>
      <c r="E845" s="1" t="s">
        <v>5564</v>
      </c>
      <c r="F845" s="1" t="s">
        <v>2699</v>
      </c>
      <c r="G845" s="1" t="s">
        <v>1941</v>
      </c>
      <c r="H845" s="1">
        <v>22313.0</v>
      </c>
      <c r="I845" s="3" t="s">
        <v>1942</v>
      </c>
    </row>
    <row r="846" ht="15.75" customHeight="1">
      <c r="A846" s="1" t="s">
        <v>1647</v>
      </c>
      <c r="B846" s="1" t="s">
        <v>5565</v>
      </c>
      <c r="C846" s="1" t="s">
        <v>5566</v>
      </c>
      <c r="D846" s="1" t="s">
        <v>5567</v>
      </c>
      <c r="E846" s="1" t="s">
        <v>5568</v>
      </c>
      <c r="F846" s="1" t="s">
        <v>3316</v>
      </c>
      <c r="G846" s="1" t="s">
        <v>1941</v>
      </c>
      <c r="H846" s="1">
        <v>21290.0</v>
      </c>
      <c r="I846" s="3" t="s">
        <v>1942</v>
      </c>
    </row>
    <row r="847" ht="15.75" customHeight="1">
      <c r="A847" s="1" t="s">
        <v>1649</v>
      </c>
      <c r="B847" s="1" t="s">
        <v>5569</v>
      </c>
      <c r="C847" s="1" t="s">
        <v>5570</v>
      </c>
      <c r="D847" s="1"/>
      <c r="E847" s="1" t="s">
        <v>5571</v>
      </c>
      <c r="F847" s="1" t="s">
        <v>2555</v>
      </c>
      <c r="G847" s="1" t="s">
        <v>1941</v>
      </c>
      <c r="H847" s="1">
        <v>47732.0</v>
      </c>
      <c r="I847" s="3" t="s">
        <v>1951</v>
      </c>
    </row>
    <row r="848" ht="15.75" customHeight="1">
      <c r="A848" s="1" t="s">
        <v>1651</v>
      </c>
      <c r="B848" s="1" t="s">
        <v>5572</v>
      </c>
      <c r="C848" s="1"/>
      <c r="D848" s="1" t="s">
        <v>5573</v>
      </c>
      <c r="E848" s="1" t="s">
        <v>5574</v>
      </c>
      <c r="F848" s="1" t="s">
        <v>3682</v>
      </c>
      <c r="G848" s="1" t="s">
        <v>1941</v>
      </c>
      <c r="H848" s="1">
        <v>30045.0</v>
      </c>
      <c r="I848" s="3" t="s">
        <v>1942</v>
      </c>
    </row>
    <row r="849" ht="15.75" customHeight="1">
      <c r="A849" s="1" t="s">
        <v>1653</v>
      </c>
      <c r="B849" s="1" t="s">
        <v>5575</v>
      </c>
      <c r="C849" s="1" t="s">
        <v>5576</v>
      </c>
      <c r="D849" s="1"/>
      <c r="E849" s="1" t="s">
        <v>5577</v>
      </c>
      <c r="F849" s="1" t="s">
        <v>5578</v>
      </c>
      <c r="G849" s="1" t="s">
        <v>1941</v>
      </c>
      <c r="H849" s="1">
        <v>36670.0</v>
      </c>
      <c r="I849" s="3" t="s">
        <v>1942</v>
      </c>
    </row>
    <row r="850" ht="15.75" customHeight="1">
      <c r="A850" s="1" t="s">
        <v>1655</v>
      </c>
      <c r="B850" s="1" t="s">
        <v>5579</v>
      </c>
      <c r="C850" s="1"/>
      <c r="D850" s="1" t="s">
        <v>5580</v>
      </c>
      <c r="E850" s="1" t="s">
        <v>5581</v>
      </c>
      <c r="F850" s="1" t="s">
        <v>2320</v>
      </c>
      <c r="G850" s="1" t="s">
        <v>1941</v>
      </c>
      <c r="H850" s="1">
        <v>79705.0</v>
      </c>
      <c r="I850" s="3" t="s">
        <v>1951</v>
      </c>
    </row>
    <row r="851" ht="15.75" customHeight="1">
      <c r="A851" s="1" t="s">
        <v>1657</v>
      </c>
      <c r="B851" s="1" t="s">
        <v>5582</v>
      </c>
      <c r="C851" s="1" t="s">
        <v>5583</v>
      </c>
      <c r="D851" s="1" t="s">
        <v>5584</v>
      </c>
      <c r="E851" s="1" t="s">
        <v>5585</v>
      </c>
      <c r="F851" s="1" t="s">
        <v>5586</v>
      </c>
      <c r="G851" s="1" t="s">
        <v>1941</v>
      </c>
      <c r="H851" s="1">
        <v>33023.0</v>
      </c>
      <c r="I851" s="3" t="s">
        <v>1942</v>
      </c>
    </row>
    <row r="852" ht="15.75" customHeight="1">
      <c r="A852" s="1" t="s">
        <v>5587</v>
      </c>
      <c r="B852" s="1" t="s">
        <v>5588</v>
      </c>
      <c r="C852" s="1" t="s">
        <v>5589</v>
      </c>
      <c r="D852" s="1" t="s">
        <v>5590</v>
      </c>
      <c r="E852" s="1" t="s">
        <v>5591</v>
      </c>
      <c r="F852" s="1" t="s">
        <v>3510</v>
      </c>
      <c r="G852" s="1" t="s">
        <v>1941</v>
      </c>
      <c r="H852" s="1">
        <v>66611.0</v>
      </c>
      <c r="I852" s="3" t="s">
        <v>1942</v>
      </c>
    </row>
    <row r="853" ht="15.75" customHeight="1">
      <c r="A853" s="1" t="s">
        <v>1659</v>
      </c>
      <c r="B853" s="1" t="s">
        <v>5592</v>
      </c>
      <c r="C853" s="1" t="s">
        <v>5593</v>
      </c>
      <c r="D853" s="1" t="s">
        <v>5594</v>
      </c>
      <c r="E853" s="1" t="s">
        <v>5595</v>
      </c>
      <c r="F853" s="1" t="s">
        <v>3755</v>
      </c>
      <c r="G853" s="1" t="s">
        <v>1941</v>
      </c>
      <c r="H853" s="1">
        <v>95973.0</v>
      </c>
      <c r="I853" s="3" t="s">
        <v>1942</v>
      </c>
    </row>
    <row r="854" ht="15.75" customHeight="1">
      <c r="A854" s="1" t="s">
        <v>1661</v>
      </c>
      <c r="B854" s="1" t="s">
        <v>5596</v>
      </c>
      <c r="C854" s="1" t="s">
        <v>5597</v>
      </c>
      <c r="D854" s="1"/>
      <c r="E854" s="1" t="s">
        <v>5598</v>
      </c>
      <c r="F854" s="1" t="s">
        <v>2387</v>
      </c>
      <c r="G854" s="1" t="s">
        <v>1941</v>
      </c>
      <c r="H854" s="1">
        <v>78737.0</v>
      </c>
      <c r="I854" s="3" t="s">
        <v>1942</v>
      </c>
    </row>
    <row r="855" ht="15.75" customHeight="1">
      <c r="A855" s="1" t="s">
        <v>1663</v>
      </c>
      <c r="B855" s="1" t="s">
        <v>5599</v>
      </c>
      <c r="C855" s="1" t="s">
        <v>5600</v>
      </c>
      <c r="D855" s="1"/>
      <c r="E855" s="1" t="s">
        <v>5601</v>
      </c>
      <c r="F855" s="1" t="s">
        <v>2448</v>
      </c>
      <c r="G855" s="1" t="s">
        <v>1941</v>
      </c>
      <c r="H855" s="1">
        <v>88546.0</v>
      </c>
      <c r="I855" s="3" t="s">
        <v>1951</v>
      </c>
    </row>
    <row r="856" ht="15.75" customHeight="1">
      <c r="A856" s="1" t="s">
        <v>1665</v>
      </c>
      <c r="B856" s="1" t="s">
        <v>5602</v>
      </c>
      <c r="C856" s="1" t="s">
        <v>5603</v>
      </c>
      <c r="D856" s="1" t="s">
        <v>5604</v>
      </c>
      <c r="E856" s="1" t="s">
        <v>5605</v>
      </c>
      <c r="F856" s="1" t="s">
        <v>2122</v>
      </c>
      <c r="G856" s="1" t="s">
        <v>1941</v>
      </c>
      <c r="H856" s="1">
        <v>25326.0</v>
      </c>
      <c r="I856" s="3" t="s">
        <v>1942</v>
      </c>
    </row>
    <row r="857" ht="15.75" customHeight="1">
      <c r="A857" s="1" t="s">
        <v>1667</v>
      </c>
      <c r="B857" s="1" t="s">
        <v>5606</v>
      </c>
      <c r="C857" s="1" t="s">
        <v>5607</v>
      </c>
      <c r="D857" s="1" t="s">
        <v>5608</v>
      </c>
      <c r="E857" s="1" t="s">
        <v>5609</v>
      </c>
      <c r="F857" s="1" t="s">
        <v>4886</v>
      </c>
      <c r="G857" s="1" t="s">
        <v>1941</v>
      </c>
      <c r="H857" s="1">
        <v>18105.0</v>
      </c>
      <c r="I857" s="3" t="s">
        <v>1951</v>
      </c>
    </row>
    <row r="858" ht="15.75" customHeight="1">
      <c r="A858" s="1" t="s">
        <v>5610</v>
      </c>
      <c r="B858" s="1" t="s">
        <v>5611</v>
      </c>
      <c r="C858" s="1" t="s">
        <v>5612</v>
      </c>
      <c r="D858" s="1" t="s">
        <v>5613</v>
      </c>
      <c r="E858" s="1" t="s">
        <v>5614</v>
      </c>
      <c r="F858" s="1" t="s">
        <v>4485</v>
      </c>
      <c r="G858" s="1" t="s">
        <v>2116</v>
      </c>
      <c r="H858" s="1" t="s">
        <v>5615</v>
      </c>
      <c r="I858" s="3" t="s">
        <v>1942</v>
      </c>
    </row>
    <row r="859" ht="15.75" customHeight="1">
      <c r="A859" s="1" t="s">
        <v>1670</v>
      </c>
      <c r="B859" s="1" t="s">
        <v>5616</v>
      </c>
      <c r="C859" s="1" t="s">
        <v>5617</v>
      </c>
      <c r="D859" s="1" t="s">
        <v>5618</v>
      </c>
      <c r="E859" s="1" t="s">
        <v>5619</v>
      </c>
      <c r="F859" s="1" t="s">
        <v>5425</v>
      </c>
      <c r="G859" s="1" t="s">
        <v>1941</v>
      </c>
      <c r="H859" s="1">
        <v>34643.0</v>
      </c>
      <c r="I859" s="3" t="s">
        <v>1951</v>
      </c>
    </row>
    <row r="860" ht="15.75" customHeight="1">
      <c r="A860" s="1" t="s">
        <v>1672</v>
      </c>
      <c r="B860" s="1" t="s">
        <v>5620</v>
      </c>
      <c r="C860" s="1" t="s">
        <v>5621</v>
      </c>
      <c r="D860" s="1" t="s">
        <v>5622</v>
      </c>
      <c r="E860" s="1" t="s">
        <v>5623</v>
      </c>
      <c r="F860" s="1" t="s">
        <v>2550</v>
      </c>
      <c r="G860" s="1" t="s">
        <v>1941</v>
      </c>
      <c r="H860" s="1">
        <v>58122.0</v>
      </c>
      <c r="I860" s="3" t="s">
        <v>1951</v>
      </c>
    </row>
    <row r="861" ht="15.75" customHeight="1">
      <c r="A861" s="1" t="s">
        <v>1674</v>
      </c>
      <c r="B861" s="1" t="s">
        <v>5624</v>
      </c>
      <c r="C861" s="1" t="s">
        <v>5625</v>
      </c>
      <c r="D861" s="1" t="s">
        <v>5626</v>
      </c>
      <c r="E861" s="1" t="s">
        <v>5627</v>
      </c>
      <c r="F861" s="1" t="s">
        <v>5028</v>
      </c>
      <c r="G861" s="1" t="s">
        <v>1941</v>
      </c>
      <c r="H861" s="1">
        <v>72905.0</v>
      </c>
      <c r="I861" s="3" t="s">
        <v>1951</v>
      </c>
    </row>
    <row r="862" ht="15.75" customHeight="1">
      <c r="A862" s="1" t="s">
        <v>1676</v>
      </c>
      <c r="B862" s="1" t="s">
        <v>5628</v>
      </c>
      <c r="C862" s="1"/>
      <c r="D862" s="1" t="s">
        <v>5629</v>
      </c>
      <c r="E862" s="1" t="s">
        <v>5630</v>
      </c>
      <c r="F862" s="1" t="s">
        <v>4237</v>
      </c>
      <c r="G862" s="1" t="s">
        <v>1941</v>
      </c>
      <c r="H862" s="1">
        <v>33811.0</v>
      </c>
      <c r="I862" s="3" t="s">
        <v>1951</v>
      </c>
    </row>
    <row r="863" ht="15.75" customHeight="1">
      <c r="A863" s="1" t="s">
        <v>1678</v>
      </c>
      <c r="B863" s="1" t="s">
        <v>5631</v>
      </c>
      <c r="C863" s="1" t="s">
        <v>5632</v>
      </c>
      <c r="D863" s="1" t="s">
        <v>5633</v>
      </c>
      <c r="E863" s="1" t="s">
        <v>5634</v>
      </c>
      <c r="F863" s="1" t="s">
        <v>3412</v>
      </c>
      <c r="G863" s="1" t="s">
        <v>1941</v>
      </c>
      <c r="H863" s="1">
        <v>37924.0</v>
      </c>
      <c r="I863" s="3" t="s">
        <v>1942</v>
      </c>
    </row>
    <row r="864" ht="15.75" customHeight="1">
      <c r="A864" s="1" t="s">
        <v>1680</v>
      </c>
      <c r="B864" s="1" t="s">
        <v>5635</v>
      </c>
      <c r="C864" s="1" t="s">
        <v>5636</v>
      </c>
      <c r="D864" s="1" t="s">
        <v>5637</v>
      </c>
      <c r="E864" s="1" t="s">
        <v>5638</v>
      </c>
      <c r="F864" s="1" t="s">
        <v>1986</v>
      </c>
      <c r="G864" s="1" t="s">
        <v>1941</v>
      </c>
      <c r="H864" s="1">
        <v>90030.0</v>
      </c>
      <c r="I864" s="3" t="s">
        <v>1942</v>
      </c>
    </row>
    <row r="865" ht="15.75" customHeight="1">
      <c r="A865" s="1" t="s">
        <v>1682</v>
      </c>
      <c r="B865" s="1" t="s">
        <v>5639</v>
      </c>
      <c r="C865" s="1" t="s">
        <v>5640</v>
      </c>
      <c r="D865" s="1" t="s">
        <v>5641</v>
      </c>
      <c r="E865" s="1" t="s">
        <v>5642</v>
      </c>
      <c r="F865" s="1" t="s">
        <v>3581</v>
      </c>
      <c r="G865" s="1" t="s">
        <v>1941</v>
      </c>
      <c r="H865" s="1">
        <v>33169.0</v>
      </c>
      <c r="I865" s="3" t="s">
        <v>1942</v>
      </c>
    </row>
    <row r="866" ht="15.75" customHeight="1">
      <c r="A866" s="1" t="s">
        <v>1684</v>
      </c>
      <c r="B866" s="1" t="s">
        <v>5643</v>
      </c>
      <c r="C866" s="1" t="s">
        <v>5644</v>
      </c>
      <c r="D866" s="1" t="s">
        <v>5645</v>
      </c>
      <c r="E866" s="1" t="s">
        <v>5646</v>
      </c>
      <c r="F866" s="1" t="s">
        <v>5162</v>
      </c>
      <c r="G866" s="1" t="s">
        <v>1949</v>
      </c>
      <c r="H866" s="1" t="s">
        <v>5163</v>
      </c>
      <c r="I866" s="3" t="s">
        <v>1951</v>
      </c>
    </row>
    <row r="867" ht="15.75" customHeight="1">
      <c r="A867" s="1" t="s">
        <v>5647</v>
      </c>
      <c r="B867" s="1" t="s">
        <v>5648</v>
      </c>
      <c r="C867" s="1"/>
      <c r="D867" s="1" t="s">
        <v>5649</v>
      </c>
      <c r="E867" s="1" t="s">
        <v>5650</v>
      </c>
      <c r="F867" s="1" t="s">
        <v>2252</v>
      </c>
      <c r="G867" s="1" t="s">
        <v>1941</v>
      </c>
      <c r="H867" s="1">
        <v>60604.0</v>
      </c>
      <c r="I867" s="3" t="s">
        <v>1942</v>
      </c>
    </row>
    <row r="868" ht="15.75" customHeight="1">
      <c r="A868" s="1" t="s">
        <v>1688</v>
      </c>
      <c r="B868" s="1" t="s">
        <v>5651</v>
      </c>
      <c r="C868" s="1" t="s">
        <v>5652</v>
      </c>
      <c r="D868" s="1" t="s">
        <v>5653</v>
      </c>
      <c r="E868" s="1" t="s">
        <v>5654</v>
      </c>
      <c r="F868" s="1" t="s">
        <v>5655</v>
      </c>
      <c r="G868" s="1" t="s">
        <v>1949</v>
      </c>
      <c r="H868" s="1" t="s">
        <v>2397</v>
      </c>
      <c r="I868" s="3" t="s">
        <v>1951</v>
      </c>
    </row>
    <row r="869" ht="15.75" customHeight="1">
      <c r="A869" s="1" t="s">
        <v>1690</v>
      </c>
      <c r="B869" s="1" t="s">
        <v>5656</v>
      </c>
      <c r="C869" s="1" t="s">
        <v>5657</v>
      </c>
      <c r="D869" s="1"/>
      <c r="E869" s="1" t="s">
        <v>5658</v>
      </c>
      <c r="F869" s="1" t="s">
        <v>5659</v>
      </c>
      <c r="G869" s="1" t="s">
        <v>1949</v>
      </c>
      <c r="H869" s="1" t="s">
        <v>5660</v>
      </c>
      <c r="I869" s="3" t="s">
        <v>1942</v>
      </c>
    </row>
    <row r="870" ht="15.75" customHeight="1">
      <c r="A870" s="1" t="s">
        <v>1692</v>
      </c>
      <c r="B870" s="1" t="s">
        <v>5661</v>
      </c>
      <c r="C870" s="1" t="s">
        <v>5662</v>
      </c>
      <c r="D870" s="1" t="s">
        <v>5663</v>
      </c>
      <c r="E870" s="1" t="s">
        <v>5664</v>
      </c>
      <c r="F870" s="1" t="s">
        <v>2861</v>
      </c>
      <c r="G870" s="1" t="s">
        <v>1941</v>
      </c>
      <c r="H870" s="1">
        <v>33064.0</v>
      </c>
      <c r="I870" s="3" t="s">
        <v>1942</v>
      </c>
    </row>
    <row r="871" ht="15.75" customHeight="1">
      <c r="A871" s="1" t="s">
        <v>1694</v>
      </c>
      <c r="B871" s="1" t="s">
        <v>5665</v>
      </c>
      <c r="C871" s="1"/>
      <c r="D871" s="1" t="s">
        <v>5666</v>
      </c>
      <c r="E871" s="1" t="s">
        <v>5667</v>
      </c>
      <c r="F871" s="1" t="s">
        <v>2999</v>
      </c>
      <c r="G871" s="1" t="s">
        <v>1941</v>
      </c>
      <c r="H871" s="1">
        <v>94297.0</v>
      </c>
      <c r="I871" s="3" t="s">
        <v>1942</v>
      </c>
    </row>
    <row r="872" ht="15.75" customHeight="1">
      <c r="A872" s="1" t="s">
        <v>1696</v>
      </c>
      <c r="B872" s="1" t="s">
        <v>5668</v>
      </c>
      <c r="C872" s="1" t="s">
        <v>5669</v>
      </c>
      <c r="D872" s="1" t="s">
        <v>5670</v>
      </c>
      <c r="E872" s="1" t="s">
        <v>5671</v>
      </c>
      <c r="F872" s="1" t="s">
        <v>2082</v>
      </c>
      <c r="G872" s="1" t="s">
        <v>1949</v>
      </c>
      <c r="H872" s="1" t="s">
        <v>2083</v>
      </c>
      <c r="I872" s="3" t="s">
        <v>1942</v>
      </c>
    </row>
    <row r="873" ht="15.75" customHeight="1">
      <c r="A873" s="1" t="s">
        <v>1698</v>
      </c>
      <c r="B873" s="1" t="s">
        <v>5672</v>
      </c>
      <c r="C873" s="1" t="s">
        <v>5673</v>
      </c>
      <c r="D873" s="1" t="s">
        <v>5674</v>
      </c>
      <c r="E873" s="1" t="s">
        <v>5675</v>
      </c>
      <c r="F873" s="1" t="s">
        <v>5676</v>
      </c>
      <c r="G873" s="1" t="s">
        <v>2116</v>
      </c>
      <c r="H873" s="1" t="s">
        <v>5677</v>
      </c>
      <c r="I873" s="3" t="s">
        <v>1942</v>
      </c>
    </row>
    <row r="874" ht="15.75" customHeight="1">
      <c r="A874" s="1" t="s">
        <v>1700</v>
      </c>
      <c r="B874" s="1" t="s">
        <v>5678</v>
      </c>
      <c r="C874" s="1" t="s">
        <v>5679</v>
      </c>
      <c r="D874" s="1" t="s">
        <v>5680</v>
      </c>
      <c r="E874" s="1" t="s">
        <v>5681</v>
      </c>
      <c r="F874" s="1" t="s">
        <v>3687</v>
      </c>
      <c r="G874" s="1" t="s">
        <v>1941</v>
      </c>
      <c r="H874" s="1">
        <v>28805.0</v>
      </c>
      <c r="I874" s="3" t="s">
        <v>1951</v>
      </c>
    </row>
    <row r="875" ht="15.75" customHeight="1">
      <c r="A875" s="1" t="s">
        <v>1686</v>
      </c>
      <c r="B875" s="1" t="s">
        <v>5682</v>
      </c>
      <c r="C875" s="1" t="s">
        <v>5683</v>
      </c>
      <c r="D875" s="1" t="s">
        <v>5684</v>
      </c>
      <c r="E875" s="1" t="s">
        <v>5685</v>
      </c>
      <c r="F875" s="1" t="s">
        <v>2122</v>
      </c>
      <c r="G875" s="1" t="s">
        <v>1941</v>
      </c>
      <c r="H875" s="1">
        <v>25362.0</v>
      </c>
      <c r="I875" s="3" t="s">
        <v>1942</v>
      </c>
    </row>
    <row r="876" ht="15.75" customHeight="1">
      <c r="A876" s="1" t="s">
        <v>1703</v>
      </c>
      <c r="B876" s="1" t="s">
        <v>5686</v>
      </c>
      <c r="C876" s="1" t="s">
        <v>5687</v>
      </c>
      <c r="D876" s="1" t="s">
        <v>5688</v>
      </c>
      <c r="E876" s="1" t="s">
        <v>5689</v>
      </c>
      <c r="F876" s="1" t="s">
        <v>2027</v>
      </c>
      <c r="G876" s="1" t="s">
        <v>1941</v>
      </c>
      <c r="H876" s="1">
        <v>77281.0</v>
      </c>
      <c r="I876" s="3" t="s">
        <v>1951</v>
      </c>
    </row>
    <row r="877" ht="15.75" customHeight="1">
      <c r="A877" s="1" t="s">
        <v>1705</v>
      </c>
      <c r="B877" s="1" t="s">
        <v>5690</v>
      </c>
      <c r="C877" s="1" t="s">
        <v>5691</v>
      </c>
      <c r="D877" s="1" t="s">
        <v>5692</v>
      </c>
      <c r="E877" s="1" t="s">
        <v>5693</v>
      </c>
      <c r="F877" s="1" t="s">
        <v>2411</v>
      </c>
      <c r="G877" s="1" t="s">
        <v>1949</v>
      </c>
      <c r="H877" s="1" t="s">
        <v>2412</v>
      </c>
      <c r="I877" s="3" t="s">
        <v>1951</v>
      </c>
    </row>
    <row r="878" ht="15.75" customHeight="1">
      <c r="A878" s="1" t="s">
        <v>5694</v>
      </c>
      <c r="B878" s="1" t="s">
        <v>5695</v>
      </c>
      <c r="C878" s="1" t="s">
        <v>5696</v>
      </c>
      <c r="D878" s="1" t="s">
        <v>5697</v>
      </c>
      <c r="E878" s="1" t="s">
        <v>5698</v>
      </c>
      <c r="F878" s="1" t="s">
        <v>2186</v>
      </c>
      <c r="G878" s="1" t="s">
        <v>1941</v>
      </c>
      <c r="H878" s="1">
        <v>20575.0</v>
      </c>
      <c r="I878" s="3" t="s">
        <v>1942</v>
      </c>
    </row>
    <row r="879" ht="15.75" customHeight="1">
      <c r="A879" s="1" t="s">
        <v>1707</v>
      </c>
      <c r="B879" s="1" t="s">
        <v>5699</v>
      </c>
      <c r="C879" s="1" t="s">
        <v>5700</v>
      </c>
      <c r="D879" s="1" t="s">
        <v>5701</v>
      </c>
      <c r="E879" s="1" t="s">
        <v>5702</v>
      </c>
      <c r="F879" s="1" t="s">
        <v>2256</v>
      </c>
      <c r="G879" s="1" t="s">
        <v>1941</v>
      </c>
      <c r="H879" s="1">
        <v>7195.0</v>
      </c>
      <c r="I879" s="3" t="s">
        <v>1951</v>
      </c>
    </row>
    <row r="880" ht="15.75" customHeight="1">
      <c r="A880" s="1" t="s">
        <v>1709</v>
      </c>
      <c r="B880" s="1" t="s">
        <v>5703</v>
      </c>
      <c r="C880" s="1"/>
      <c r="D880" s="1" t="s">
        <v>5704</v>
      </c>
      <c r="E880" s="1" t="s">
        <v>5705</v>
      </c>
      <c r="F880" s="1" t="s">
        <v>3492</v>
      </c>
      <c r="G880" s="1" t="s">
        <v>1941</v>
      </c>
      <c r="H880" s="1">
        <v>98195.0</v>
      </c>
      <c r="I880" s="3" t="s">
        <v>1942</v>
      </c>
    </row>
    <row r="881" ht="15.75" customHeight="1">
      <c r="A881" s="1" t="s">
        <v>1711</v>
      </c>
      <c r="B881" s="1" t="s">
        <v>5706</v>
      </c>
      <c r="C881" s="1"/>
      <c r="D881" s="1" t="s">
        <v>5707</v>
      </c>
      <c r="E881" s="1" t="s">
        <v>5708</v>
      </c>
      <c r="F881" s="1" t="s">
        <v>2063</v>
      </c>
      <c r="G881" s="1" t="s">
        <v>1941</v>
      </c>
      <c r="H881" s="1">
        <v>80150.0</v>
      </c>
      <c r="I881" s="3" t="s">
        <v>1951</v>
      </c>
    </row>
    <row r="882" ht="15.75" customHeight="1">
      <c r="A882" s="1" t="s">
        <v>1713</v>
      </c>
      <c r="B882" s="1" t="s">
        <v>5709</v>
      </c>
      <c r="C882" s="1" t="s">
        <v>5710</v>
      </c>
      <c r="D882" s="1" t="s">
        <v>5711</v>
      </c>
      <c r="E882" s="1" t="s">
        <v>5712</v>
      </c>
      <c r="F882" s="1" t="s">
        <v>5713</v>
      </c>
      <c r="G882" s="1" t="s">
        <v>1941</v>
      </c>
      <c r="H882" s="1">
        <v>61105.0</v>
      </c>
      <c r="I882" s="3" t="s">
        <v>1951</v>
      </c>
    </row>
    <row r="883" ht="15.75" customHeight="1">
      <c r="A883" s="1" t="s">
        <v>1715</v>
      </c>
      <c r="B883" s="1" t="s">
        <v>5714</v>
      </c>
      <c r="C883" s="1"/>
      <c r="D883" s="1" t="s">
        <v>5715</v>
      </c>
      <c r="E883" s="1" t="s">
        <v>5716</v>
      </c>
      <c r="F883" s="1" t="s">
        <v>5215</v>
      </c>
      <c r="G883" s="1" t="s">
        <v>1941</v>
      </c>
      <c r="H883" s="1">
        <v>59112.0</v>
      </c>
      <c r="I883" s="3" t="s">
        <v>1942</v>
      </c>
    </row>
    <row r="884" ht="15.75" customHeight="1">
      <c r="A884" s="1" t="s">
        <v>5717</v>
      </c>
      <c r="B884" s="1" t="s">
        <v>5718</v>
      </c>
      <c r="C884" s="1" t="s">
        <v>5719</v>
      </c>
      <c r="D884" s="1" t="s">
        <v>5720</v>
      </c>
      <c r="E884" s="1" t="s">
        <v>5721</v>
      </c>
      <c r="F884" s="1" t="s">
        <v>3049</v>
      </c>
      <c r="G884" s="1" t="s">
        <v>1941</v>
      </c>
      <c r="H884" s="1">
        <v>31165.0</v>
      </c>
      <c r="I884" s="3" t="s">
        <v>1951</v>
      </c>
    </row>
    <row r="885" ht="15.75" customHeight="1">
      <c r="A885" s="1" t="s">
        <v>1719</v>
      </c>
      <c r="B885" s="1" t="s">
        <v>5722</v>
      </c>
      <c r="C885" s="1" t="s">
        <v>5723</v>
      </c>
      <c r="D885" s="1" t="s">
        <v>5724</v>
      </c>
      <c r="E885" s="1" t="s">
        <v>5725</v>
      </c>
      <c r="F885" s="1" t="s">
        <v>2816</v>
      </c>
      <c r="G885" s="1" t="s">
        <v>1941</v>
      </c>
      <c r="H885" s="1">
        <v>74108.0</v>
      </c>
      <c r="I885" s="3" t="s">
        <v>1942</v>
      </c>
    </row>
    <row r="886" ht="15.75" customHeight="1">
      <c r="A886" s="1" t="s">
        <v>1721</v>
      </c>
      <c r="B886" s="1" t="s">
        <v>5726</v>
      </c>
      <c r="C886" s="1" t="s">
        <v>5727</v>
      </c>
      <c r="D886" s="1" t="s">
        <v>5728</v>
      </c>
      <c r="E886" s="1" t="s">
        <v>5729</v>
      </c>
      <c r="F886" s="1" t="s">
        <v>2355</v>
      </c>
      <c r="G886" s="1" t="s">
        <v>1941</v>
      </c>
      <c r="H886" s="1">
        <v>93704.0</v>
      </c>
      <c r="I886" s="3" t="s">
        <v>1942</v>
      </c>
    </row>
    <row r="887" ht="15.75" customHeight="1">
      <c r="A887" s="1" t="s">
        <v>1723</v>
      </c>
      <c r="B887" s="1" t="s">
        <v>5730</v>
      </c>
      <c r="C887" s="1" t="s">
        <v>5731</v>
      </c>
      <c r="D887" s="1" t="s">
        <v>5732</v>
      </c>
      <c r="E887" s="1" t="s">
        <v>5733</v>
      </c>
      <c r="F887" s="1" t="s">
        <v>5734</v>
      </c>
      <c r="G887" s="1" t="s">
        <v>1949</v>
      </c>
      <c r="H887" s="1" t="s">
        <v>2310</v>
      </c>
      <c r="I887" s="3" t="s">
        <v>1951</v>
      </c>
    </row>
    <row r="888" ht="15.75" customHeight="1">
      <c r="A888" s="1" t="s">
        <v>1725</v>
      </c>
      <c r="B888" s="1" t="s">
        <v>5735</v>
      </c>
      <c r="C888" s="1" t="s">
        <v>5736</v>
      </c>
      <c r="D888" s="1" t="s">
        <v>5737</v>
      </c>
      <c r="E888" s="1" t="s">
        <v>5738</v>
      </c>
      <c r="F888" s="1" t="s">
        <v>3090</v>
      </c>
      <c r="G888" s="1" t="s">
        <v>1941</v>
      </c>
      <c r="H888" s="1">
        <v>94154.0</v>
      </c>
      <c r="I888" s="3" t="s">
        <v>1951</v>
      </c>
    </row>
    <row r="889" ht="15.75" customHeight="1">
      <c r="A889" s="1" t="s">
        <v>1727</v>
      </c>
      <c r="B889" s="1" t="s">
        <v>5739</v>
      </c>
      <c r="C889" s="1" t="s">
        <v>5740</v>
      </c>
      <c r="D889" s="1" t="s">
        <v>5741</v>
      </c>
      <c r="E889" s="1" t="s">
        <v>5742</v>
      </c>
      <c r="F889" s="1" t="s">
        <v>5578</v>
      </c>
      <c r="G889" s="1" t="s">
        <v>1941</v>
      </c>
      <c r="H889" s="1">
        <v>36689.0</v>
      </c>
      <c r="I889" s="3" t="s">
        <v>1951</v>
      </c>
    </row>
    <row r="890" ht="15.75" customHeight="1">
      <c r="A890" s="1" t="s">
        <v>1729</v>
      </c>
      <c r="B890" s="1" t="s">
        <v>5743</v>
      </c>
      <c r="C890" s="1" t="s">
        <v>5744</v>
      </c>
      <c r="D890" s="1" t="s">
        <v>5745</v>
      </c>
      <c r="E890" s="1" t="s">
        <v>5746</v>
      </c>
      <c r="F890" s="1" t="s">
        <v>3090</v>
      </c>
      <c r="G890" s="1" t="s">
        <v>1941</v>
      </c>
      <c r="H890" s="1">
        <v>94110.0</v>
      </c>
      <c r="I890" s="3" t="s">
        <v>1942</v>
      </c>
    </row>
    <row r="891" ht="15.75" customHeight="1">
      <c r="A891" s="1" t="s">
        <v>1731</v>
      </c>
      <c r="B891" s="1" t="s">
        <v>5747</v>
      </c>
      <c r="C891" s="1" t="s">
        <v>5748</v>
      </c>
      <c r="D891" s="1" t="s">
        <v>5749</v>
      </c>
      <c r="E891" s="1" t="s">
        <v>5750</v>
      </c>
      <c r="F891" s="1" t="s">
        <v>2099</v>
      </c>
      <c r="G891" s="1" t="s">
        <v>1941</v>
      </c>
      <c r="H891" s="1">
        <v>11470.0</v>
      </c>
      <c r="I891" s="3" t="s">
        <v>1942</v>
      </c>
    </row>
    <row r="892" ht="15.75" customHeight="1">
      <c r="A892" s="1" t="s">
        <v>1717</v>
      </c>
      <c r="B892" s="1" t="s">
        <v>5751</v>
      </c>
      <c r="C892" s="1" t="s">
        <v>5752</v>
      </c>
      <c r="D892" s="1" t="s">
        <v>5753</v>
      </c>
      <c r="E892" s="1" t="s">
        <v>5754</v>
      </c>
      <c r="F892" s="1" t="s">
        <v>2132</v>
      </c>
      <c r="G892" s="1" t="s">
        <v>1941</v>
      </c>
      <c r="H892" s="1">
        <v>80243.0</v>
      </c>
      <c r="I892" s="3" t="s">
        <v>1942</v>
      </c>
    </row>
    <row r="893" ht="15.75" customHeight="1">
      <c r="A893" s="1" t="s">
        <v>1734</v>
      </c>
      <c r="B893" s="1" t="s">
        <v>5755</v>
      </c>
      <c r="C893" s="1" t="s">
        <v>5756</v>
      </c>
      <c r="D893" s="1" t="s">
        <v>5757</v>
      </c>
      <c r="E893" s="1" t="s">
        <v>5758</v>
      </c>
      <c r="F893" s="1" t="s">
        <v>3785</v>
      </c>
      <c r="G893" s="1" t="s">
        <v>1941</v>
      </c>
      <c r="H893" s="1">
        <v>92165.0</v>
      </c>
      <c r="I893" s="3" t="s">
        <v>1942</v>
      </c>
    </row>
    <row r="894" ht="15.75" customHeight="1">
      <c r="A894" s="1" t="s">
        <v>1736</v>
      </c>
      <c r="B894" s="1" t="s">
        <v>5759</v>
      </c>
      <c r="C894" s="1" t="s">
        <v>5760</v>
      </c>
      <c r="D894" s="1" t="s">
        <v>5761</v>
      </c>
      <c r="E894" s="1" t="s">
        <v>5762</v>
      </c>
      <c r="F894" s="1" t="s">
        <v>3727</v>
      </c>
      <c r="G894" s="1" t="s">
        <v>2116</v>
      </c>
      <c r="H894" s="1" t="s">
        <v>3728</v>
      </c>
      <c r="I894" s="3" t="s">
        <v>1951</v>
      </c>
    </row>
    <row r="895" ht="15.75" customHeight="1">
      <c r="A895" s="1" t="s">
        <v>1738</v>
      </c>
      <c r="B895" s="1" t="s">
        <v>5763</v>
      </c>
      <c r="C895" s="1" t="s">
        <v>5764</v>
      </c>
      <c r="D895" s="1"/>
      <c r="E895" s="1" t="s">
        <v>5765</v>
      </c>
      <c r="F895" s="1" t="s">
        <v>4595</v>
      </c>
      <c r="G895" s="1" t="s">
        <v>1941</v>
      </c>
      <c r="H895" s="1">
        <v>15250.0</v>
      </c>
      <c r="I895" s="3" t="s">
        <v>1942</v>
      </c>
    </row>
    <row r="896" ht="15.75" customHeight="1">
      <c r="A896" s="1" t="s">
        <v>1740</v>
      </c>
      <c r="B896" s="1" t="s">
        <v>5766</v>
      </c>
      <c r="C896" s="1"/>
      <c r="D896" s="1" t="s">
        <v>5767</v>
      </c>
      <c r="E896" s="1" t="s">
        <v>5768</v>
      </c>
      <c r="F896" s="1" t="s">
        <v>5769</v>
      </c>
      <c r="G896" s="1" t="s">
        <v>1949</v>
      </c>
      <c r="H896" s="1" t="s">
        <v>2674</v>
      </c>
      <c r="I896" s="3" t="s">
        <v>1942</v>
      </c>
    </row>
    <row r="897" ht="15.75" customHeight="1">
      <c r="A897" s="1" t="s">
        <v>1742</v>
      </c>
      <c r="B897" s="1" t="s">
        <v>5770</v>
      </c>
      <c r="C897" s="1"/>
      <c r="D897" s="1" t="s">
        <v>5771</v>
      </c>
      <c r="E897" s="1" t="s">
        <v>5772</v>
      </c>
      <c r="F897" s="1" t="s">
        <v>2037</v>
      </c>
      <c r="G897" s="1" t="s">
        <v>1941</v>
      </c>
      <c r="H897" s="1">
        <v>10004.0</v>
      </c>
      <c r="I897" s="3" t="s">
        <v>1951</v>
      </c>
    </row>
    <row r="898" ht="15.75" customHeight="1">
      <c r="A898" s="1" t="s">
        <v>1744</v>
      </c>
      <c r="B898" s="1" t="s">
        <v>5773</v>
      </c>
      <c r="C898" s="1" t="s">
        <v>5774</v>
      </c>
      <c r="D898" s="1" t="s">
        <v>5775</v>
      </c>
      <c r="E898" s="1" t="s">
        <v>5776</v>
      </c>
      <c r="F898" s="1" t="s">
        <v>3492</v>
      </c>
      <c r="G898" s="1" t="s">
        <v>1941</v>
      </c>
      <c r="H898" s="1">
        <v>98148.0</v>
      </c>
      <c r="I898" s="3" t="s">
        <v>1942</v>
      </c>
    </row>
    <row r="899" ht="15.75" customHeight="1">
      <c r="A899" s="1" t="s">
        <v>1746</v>
      </c>
      <c r="B899" s="1" t="s">
        <v>5777</v>
      </c>
      <c r="C899" s="1" t="s">
        <v>5778</v>
      </c>
      <c r="D899" s="1" t="s">
        <v>5779</v>
      </c>
      <c r="E899" s="1" t="s">
        <v>5780</v>
      </c>
      <c r="F899" s="1" t="s">
        <v>2172</v>
      </c>
      <c r="G899" s="1" t="s">
        <v>2116</v>
      </c>
      <c r="H899" s="1" t="s">
        <v>2486</v>
      </c>
      <c r="I899" s="3" t="s">
        <v>1951</v>
      </c>
    </row>
    <row r="900" ht="15.75" customHeight="1">
      <c r="A900" s="1" t="s">
        <v>1748</v>
      </c>
      <c r="B900" s="1" t="s">
        <v>5781</v>
      </c>
      <c r="C900" s="1"/>
      <c r="D900" s="1" t="s">
        <v>5782</v>
      </c>
      <c r="E900" s="1" t="s">
        <v>5783</v>
      </c>
      <c r="F900" s="1" t="s">
        <v>5784</v>
      </c>
      <c r="G900" s="1" t="s">
        <v>1941</v>
      </c>
      <c r="H900" s="1">
        <v>49018.0</v>
      </c>
      <c r="I900" s="3" t="s">
        <v>1951</v>
      </c>
    </row>
    <row r="901" ht="15.75" customHeight="1">
      <c r="A901" s="1" t="s">
        <v>5785</v>
      </c>
      <c r="B901" s="1" t="s">
        <v>5786</v>
      </c>
      <c r="C901" s="1" t="s">
        <v>5787</v>
      </c>
      <c r="D901" s="1"/>
      <c r="E901" s="1" t="s">
        <v>5788</v>
      </c>
      <c r="F901" s="1" t="s">
        <v>2424</v>
      </c>
      <c r="G901" s="1" t="s">
        <v>1949</v>
      </c>
      <c r="H901" s="1" t="s">
        <v>2425</v>
      </c>
      <c r="I901" s="3" t="s">
        <v>1942</v>
      </c>
    </row>
    <row r="902" ht="15.75" customHeight="1">
      <c r="A902" s="1" t="s">
        <v>1751</v>
      </c>
      <c r="B902" s="1" t="s">
        <v>5789</v>
      </c>
      <c r="C902" s="1"/>
      <c r="D902" s="1" t="s">
        <v>5790</v>
      </c>
      <c r="E902" s="1" t="s">
        <v>5791</v>
      </c>
      <c r="F902" s="1" t="s">
        <v>5792</v>
      </c>
      <c r="G902" s="1" t="s">
        <v>1949</v>
      </c>
      <c r="H902" s="1" t="s">
        <v>2536</v>
      </c>
      <c r="I902" s="3" t="s">
        <v>1951</v>
      </c>
    </row>
    <row r="903" ht="15.75" customHeight="1">
      <c r="A903" s="1" t="s">
        <v>1753</v>
      </c>
      <c r="B903" s="1" t="s">
        <v>5793</v>
      </c>
      <c r="C903" s="1" t="s">
        <v>5794</v>
      </c>
      <c r="D903" s="1" t="s">
        <v>5795</v>
      </c>
      <c r="E903" s="1" t="s">
        <v>5796</v>
      </c>
      <c r="F903" s="1" t="s">
        <v>2027</v>
      </c>
      <c r="G903" s="1" t="s">
        <v>1941</v>
      </c>
      <c r="H903" s="1">
        <v>77070.0</v>
      </c>
      <c r="I903" s="3" t="s">
        <v>1942</v>
      </c>
    </row>
    <row r="904" ht="15.75" customHeight="1">
      <c r="A904" s="1" t="s">
        <v>1755</v>
      </c>
      <c r="B904" s="1" t="s">
        <v>5797</v>
      </c>
      <c r="C904" s="1" t="s">
        <v>5798</v>
      </c>
      <c r="D904" s="1" t="s">
        <v>5799</v>
      </c>
      <c r="E904" s="1" t="s">
        <v>5800</v>
      </c>
      <c r="F904" s="1" t="s">
        <v>3037</v>
      </c>
      <c r="G904" s="1" t="s">
        <v>1941</v>
      </c>
      <c r="H904" s="1">
        <v>45249.0</v>
      </c>
      <c r="I904" s="3" t="s">
        <v>1951</v>
      </c>
    </row>
    <row r="905" ht="15.75" customHeight="1">
      <c r="A905" s="1" t="s">
        <v>1757</v>
      </c>
      <c r="B905" s="1" t="s">
        <v>5801</v>
      </c>
      <c r="C905" s="1" t="s">
        <v>5802</v>
      </c>
      <c r="D905" s="1" t="s">
        <v>5803</v>
      </c>
      <c r="E905" s="1" t="s">
        <v>5804</v>
      </c>
      <c r="F905" s="1" t="s">
        <v>2355</v>
      </c>
      <c r="G905" s="1" t="s">
        <v>1941</v>
      </c>
      <c r="H905" s="1">
        <v>93704.0</v>
      </c>
      <c r="I905" s="3" t="s">
        <v>1951</v>
      </c>
    </row>
    <row r="906" ht="15.75" customHeight="1">
      <c r="A906" s="1" t="s">
        <v>1759</v>
      </c>
      <c r="B906" s="1" t="s">
        <v>5805</v>
      </c>
      <c r="C906" s="1" t="s">
        <v>5806</v>
      </c>
      <c r="D906" s="1" t="s">
        <v>5807</v>
      </c>
      <c r="E906" s="1" t="s">
        <v>5808</v>
      </c>
      <c r="F906" s="1" t="s">
        <v>2233</v>
      </c>
      <c r="G906" s="1" t="s">
        <v>1941</v>
      </c>
      <c r="H906" s="1">
        <v>55123.0</v>
      </c>
      <c r="I906" s="3" t="s">
        <v>1951</v>
      </c>
    </row>
    <row r="907" ht="15.75" customHeight="1">
      <c r="A907" s="1" t="s">
        <v>1761</v>
      </c>
      <c r="B907" s="1" t="s">
        <v>5809</v>
      </c>
      <c r="C907" s="1"/>
      <c r="D907" s="1" t="s">
        <v>5810</v>
      </c>
      <c r="E907" s="1" t="s">
        <v>5811</v>
      </c>
      <c r="F907" s="1" t="s">
        <v>2448</v>
      </c>
      <c r="G907" s="1" t="s">
        <v>1941</v>
      </c>
      <c r="H907" s="1">
        <v>88519.0</v>
      </c>
      <c r="I907" s="3" t="s">
        <v>1942</v>
      </c>
    </row>
    <row r="908" ht="15.75" customHeight="1">
      <c r="A908" s="1" t="s">
        <v>1763</v>
      </c>
      <c r="B908" s="1" t="s">
        <v>5812</v>
      </c>
      <c r="C908" s="1" t="s">
        <v>5813</v>
      </c>
      <c r="D908" s="1" t="s">
        <v>5814</v>
      </c>
      <c r="E908" s="1" t="s">
        <v>5815</v>
      </c>
      <c r="F908" s="1" t="s">
        <v>2647</v>
      </c>
      <c r="G908" s="1" t="s">
        <v>1941</v>
      </c>
      <c r="H908" s="1">
        <v>50981.0</v>
      </c>
      <c r="I908" s="3" t="s">
        <v>1942</v>
      </c>
    </row>
    <row r="909" ht="15.75" customHeight="1">
      <c r="A909" s="1" t="s">
        <v>1765</v>
      </c>
      <c r="B909" s="1" t="s">
        <v>5816</v>
      </c>
      <c r="C909" s="1" t="s">
        <v>5817</v>
      </c>
      <c r="D909" s="1" t="s">
        <v>5818</v>
      </c>
      <c r="E909" s="1" t="s">
        <v>5819</v>
      </c>
      <c r="F909" s="1" t="s">
        <v>2022</v>
      </c>
      <c r="G909" s="1" t="s">
        <v>1941</v>
      </c>
      <c r="H909" s="1">
        <v>97240.0</v>
      </c>
      <c r="I909" s="3" t="s">
        <v>1951</v>
      </c>
    </row>
    <row r="910" ht="15.75" customHeight="1">
      <c r="A910" s="1" t="s">
        <v>1767</v>
      </c>
      <c r="B910" s="1" t="s">
        <v>5820</v>
      </c>
      <c r="C910" s="1" t="s">
        <v>5821</v>
      </c>
      <c r="D910" s="1" t="s">
        <v>5822</v>
      </c>
      <c r="E910" s="1" t="s">
        <v>5823</v>
      </c>
      <c r="F910" s="1" t="s">
        <v>2027</v>
      </c>
      <c r="G910" s="1" t="s">
        <v>1941</v>
      </c>
      <c r="H910" s="1">
        <v>77070.0</v>
      </c>
      <c r="I910" s="3" t="s">
        <v>1951</v>
      </c>
    </row>
    <row r="911" ht="15.75" customHeight="1">
      <c r="A911" s="1" t="s">
        <v>1769</v>
      </c>
      <c r="B911" s="1" t="s">
        <v>5824</v>
      </c>
      <c r="C911" s="1"/>
      <c r="D911" s="1" t="s">
        <v>5825</v>
      </c>
      <c r="E911" s="1" t="s">
        <v>5826</v>
      </c>
      <c r="F911" s="1" t="s">
        <v>4481</v>
      </c>
      <c r="G911" s="1" t="s">
        <v>1941</v>
      </c>
      <c r="H911" s="1">
        <v>27705.0</v>
      </c>
      <c r="I911" s="3" t="s">
        <v>1951</v>
      </c>
    </row>
    <row r="912" ht="15.75" customHeight="1">
      <c r="A912" s="1" t="s">
        <v>1771</v>
      </c>
      <c r="B912" s="1" t="s">
        <v>5827</v>
      </c>
      <c r="C912" s="1" t="s">
        <v>5828</v>
      </c>
      <c r="D912" s="1" t="s">
        <v>5829</v>
      </c>
      <c r="E912" s="1" t="s">
        <v>5830</v>
      </c>
      <c r="F912" s="1" t="s">
        <v>2158</v>
      </c>
      <c r="G912" s="1" t="s">
        <v>1941</v>
      </c>
      <c r="H912" s="1">
        <v>2298.0</v>
      </c>
      <c r="I912" s="3" t="s">
        <v>1951</v>
      </c>
    </row>
    <row r="913" ht="15.75" customHeight="1">
      <c r="A913" s="1" t="s">
        <v>1773</v>
      </c>
      <c r="B913" s="1" t="s">
        <v>5831</v>
      </c>
      <c r="C913" s="1" t="s">
        <v>5832</v>
      </c>
      <c r="D913" s="1" t="s">
        <v>5833</v>
      </c>
      <c r="E913" s="1" t="s">
        <v>5834</v>
      </c>
      <c r="F913" s="1" t="s">
        <v>2186</v>
      </c>
      <c r="G913" s="1" t="s">
        <v>1941</v>
      </c>
      <c r="H913" s="1">
        <v>20226.0</v>
      </c>
      <c r="I913" s="3" t="s">
        <v>1942</v>
      </c>
    </row>
    <row r="914" ht="15.75" customHeight="1">
      <c r="A914" s="1" t="s">
        <v>1775</v>
      </c>
      <c r="B914" s="1" t="s">
        <v>5835</v>
      </c>
      <c r="C914" s="1"/>
      <c r="D914" s="1" t="s">
        <v>5836</v>
      </c>
      <c r="E914" s="1" t="s">
        <v>5837</v>
      </c>
      <c r="F914" s="1" t="s">
        <v>2881</v>
      </c>
      <c r="G914" s="1" t="s">
        <v>1941</v>
      </c>
      <c r="H914" s="1">
        <v>12205.0</v>
      </c>
      <c r="I914" s="3" t="s">
        <v>1942</v>
      </c>
    </row>
    <row r="915" ht="15.75" customHeight="1">
      <c r="A915" s="1" t="s">
        <v>1777</v>
      </c>
      <c r="B915" s="1" t="s">
        <v>5838</v>
      </c>
      <c r="C915" s="1" t="s">
        <v>5839</v>
      </c>
      <c r="D915" s="1" t="s">
        <v>5840</v>
      </c>
      <c r="E915" s="1" t="s">
        <v>5841</v>
      </c>
      <c r="F915" s="1" t="s">
        <v>2140</v>
      </c>
      <c r="G915" s="1" t="s">
        <v>1941</v>
      </c>
      <c r="H915" s="1">
        <v>85732.0</v>
      </c>
      <c r="I915" s="3" t="s">
        <v>1951</v>
      </c>
    </row>
    <row r="916" ht="15.75" customHeight="1">
      <c r="A916" s="1" t="s">
        <v>1779</v>
      </c>
      <c r="B916" s="1" t="s">
        <v>5842</v>
      </c>
      <c r="C916" s="1" t="s">
        <v>5843</v>
      </c>
      <c r="D916" s="1" t="s">
        <v>5844</v>
      </c>
      <c r="E916" s="1" t="s">
        <v>5845</v>
      </c>
      <c r="F916" s="1" t="s">
        <v>2744</v>
      </c>
      <c r="G916" s="1" t="s">
        <v>1941</v>
      </c>
      <c r="H916" s="1">
        <v>36195.0</v>
      </c>
      <c r="I916" s="3" t="s">
        <v>1951</v>
      </c>
    </row>
    <row r="917" ht="15.75" customHeight="1">
      <c r="A917" s="1" t="s">
        <v>1781</v>
      </c>
      <c r="B917" s="1" t="s">
        <v>5846</v>
      </c>
      <c r="C917" s="1" t="s">
        <v>5847</v>
      </c>
      <c r="D917" s="1" t="s">
        <v>5848</v>
      </c>
      <c r="E917" s="1" t="s">
        <v>5849</v>
      </c>
      <c r="F917" s="1" t="s">
        <v>5850</v>
      </c>
      <c r="G917" s="1" t="s">
        <v>1941</v>
      </c>
      <c r="H917" s="1">
        <v>99709.0</v>
      </c>
      <c r="I917" s="3" t="s">
        <v>1942</v>
      </c>
    </row>
    <row r="918" ht="15.75" customHeight="1">
      <c r="A918" s="1" t="s">
        <v>1783</v>
      </c>
      <c r="B918" s="1" t="s">
        <v>5851</v>
      </c>
      <c r="C918" s="1"/>
      <c r="D918" s="1"/>
      <c r="E918" s="1" t="s">
        <v>5852</v>
      </c>
      <c r="F918" s="1" t="s">
        <v>3918</v>
      </c>
      <c r="G918" s="1" t="s">
        <v>1949</v>
      </c>
      <c r="H918" s="1" t="s">
        <v>3919</v>
      </c>
      <c r="I918" s="3" t="s">
        <v>1942</v>
      </c>
    </row>
    <row r="919" ht="15.75" customHeight="1">
      <c r="A919" s="1" t="s">
        <v>1785</v>
      </c>
      <c r="B919" s="1" t="s">
        <v>5853</v>
      </c>
      <c r="C919" s="1" t="s">
        <v>5854</v>
      </c>
      <c r="D919" s="1" t="s">
        <v>5855</v>
      </c>
      <c r="E919" s="1" t="s">
        <v>5856</v>
      </c>
      <c r="F919" s="1" t="s">
        <v>3238</v>
      </c>
      <c r="G919" s="1" t="s">
        <v>2116</v>
      </c>
      <c r="H919" s="1" t="s">
        <v>5857</v>
      </c>
      <c r="I919" s="3" t="s">
        <v>1951</v>
      </c>
    </row>
    <row r="920" ht="15.75" customHeight="1">
      <c r="A920" s="1" t="s">
        <v>5858</v>
      </c>
      <c r="B920" s="1" t="s">
        <v>5859</v>
      </c>
      <c r="C920" s="1" t="s">
        <v>5860</v>
      </c>
      <c r="D920" s="1" t="s">
        <v>5861</v>
      </c>
      <c r="E920" s="1" t="s">
        <v>5862</v>
      </c>
      <c r="F920" s="1" t="s">
        <v>2713</v>
      </c>
      <c r="G920" s="1" t="s">
        <v>1941</v>
      </c>
      <c r="H920" s="1">
        <v>34615.0</v>
      </c>
      <c r="I920" s="3" t="s">
        <v>1951</v>
      </c>
    </row>
    <row r="921" ht="15.75" customHeight="1">
      <c r="A921" s="1" t="s">
        <v>1787</v>
      </c>
      <c r="B921" s="1" t="s">
        <v>5863</v>
      </c>
      <c r="C921" s="1" t="s">
        <v>5864</v>
      </c>
      <c r="D921" s="1" t="s">
        <v>5865</v>
      </c>
      <c r="E921" s="1" t="s">
        <v>5866</v>
      </c>
      <c r="F921" s="1" t="s">
        <v>3320</v>
      </c>
      <c r="G921" s="1" t="s">
        <v>1941</v>
      </c>
      <c r="H921" s="1">
        <v>40515.0</v>
      </c>
      <c r="I921" s="3" t="s">
        <v>1942</v>
      </c>
    </row>
    <row r="922" ht="15.75" customHeight="1">
      <c r="A922" s="1" t="s">
        <v>1789</v>
      </c>
      <c r="B922" s="1" t="s">
        <v>5867</v>
      </c>
      <c r="C922" s="1" t="s">
        <v>5868</v>
      </c>
      <c r="D922" s="1" t="s">
        <v>5869</v>
      </c>
      <c r="E922" s="1" t="s">
        <v>5870</v>
      </c>
      <c r="F922" s="1" t="s">
        <v>2048</v>
      </c>
      <c r="G922" s="1" t="s">
        <v>1941</v>
      </c>
      <c r="H922" s="1">
        <v>49560.0</v>
      </c>
      <c r="I922" s="3" t="s">
        <v>1951</v>
      </c>
    </row>
    <row r="923" ht="15.75" customHeight="1">
      <c r="A923" s="1" t="s">
        <v>1791</v>
      </c>
      <c r="B923" s="1" t="s">
        <v>5871</v>
      </c>
      <c r="C923" s="1" t="s">
        <v>5872</v>
      </c>
      <c r="D923" s="1" t="s">
        <v>5873</v>
      </c>
      <c r="E923" s="1" t="s">
        <v>5874</v>
      </c>
      <c r="F923" s="1" t="s">
        <v>2647</v>
      </c>
      <c r="G923" s="1" t="s">
        <v>1941</v>
      </c>
      <c r="H923" s="1">
        <v>50369.0</v>
      </c>
      <c r="I923" s="3" t="s">
        <v>1951</v>
      </c>
    </row>
    <row r="924" ht="15.75" customHeight="1">
      <c r="A924" s="1" t="s">
        <v>1793</v>
      </c>
      <c r="B924" s="1" t="s">
        <v>5875</v>
      </c>
      <c r="C924" s="1"/>
      <c r="D924" s="1"/>
      <c r="E924" s="1" t="s">
        <v>5876</v>
      </c>
      <c r="F924" s="1" t="s">
        <v>5107</v>
      </c>
      <c r="G924" s="1" t="s">
        <v>1941</v>
      </c>
      <c r="H924" s="1">
        <v>19810.0</v>
      </c>
      <c r="I924" s="3" t="s">
        <v>1942</v>
      </c>
    </row>
    <row r="925" ht="15.75" customHeight="1">
      <c r="A925" s="1" t="s">
        <v>1795</v>
      </c>
      <c r="B925" s="1" t="s">
        <v>5877</v>
      </c>
      <c r="C925" s="1" t="s">
        <v>5878</v>
      </c>
      <c r="D925" s="1" t="s">
        <v>5879</v>
      </c>
      <c r="E925" s="1" t="s">
        <v>5880</v>
      </c>
      <c r="F925" s="1" t="s">
        <v>2387</v>
      </c>
      <c r="G925" s="1" t="s">
        <v>1941</v>
      </c>
      <c r="H925" s="1">
        <v>78726.0</v>
      </c>
      <c r="I925" s="3" t="s">
        <v>1951</v>
      </c>
    </row>
    <row r="926" ht="15.75" customHeight="1">
      <c r="A926" s="1" t="s">
        <v>1797</v>
      </c>
      <c r="B926" s="1" t="s">
        <v>5881</v>
      </c>
      <c r="C926" s="1" t="s">
        <v>5882</v>
      </c>
      <c r="D926" s="1"/>
      <c r="E926" s="1" t="s">
        <v>5883</v>
      </c>
      <c r="F926" s="1" t="s">
        <v>4401</v>
      </c>
      <c r="G926" s="1" t="s">
        <v>1941</v>
      </c>
      <c r="H926" s="1">
        <v>32835.0</v>
      </c>
      <c r="I926" s="3" t="s">
        <v>1951</v>
      </c>
    </row>
    <row r="927" ht="15.75" customHeight="1">
      <c r="A927" s="1" t="s">
        <v>5884</v>
      </c>
      <c r="B927" s="1" t="s">
        <v>5885</v>
      </c>
      <c r="C927" s="1"/>
      <c r="D927" s="1" t="s">
        <v>5886</v>
      </c>
      <c r="E927" s="1" t="s">
        <v>5887</v>
      </c>
      <c r="F927" s="1" t="s">
        <v>2947</v>
      </c>
      <c r="G927" s="1" t="s">
        <v>1941</v>
      </c>
      <c r="H927" s="1">
        <v>91199.0</v>
      </c>
      <c r="I927" s="3" t="s">
        <v>1942</v>
      </c>
    </row>
    <row r="928" ht="15.75" customHeight="1">
      <c r="A928" s="1" t="s">
        <v>1800</v>
      </c>
      <c r="B928" s="1" t="s">
        <v>5888</v>
      </c>
      <c r="C928" s="1" t="s">
        <v>5889</v>
      </c>
      <c r="D928" s="1" t="s">
        <v>5890</v>
      </c>
      <c r="E928" s="1" t="s">
        <v>5891</v>
      </c>
      <c r="F928" s="1" t="s">
        <v>2186</v>
      </c>
      <c r="G928" s="1" t="s">
        <v>1941</v>
      </c>
      <c r="H928" s="1">
        <v>20238.0</v>
      </c>
      <c r="I928" s="3" t="s">
        <v>1942</v>
      </c>
    </row>
    <row r="929" ht="15.75" customHeight="1">
      <c r="A929" s="1" t="s">
        <v>1802</v>
      </c>
      <c r="B929" s="1" t="s">
        <v>5892</v>
      </c>
      <c r="C929" s="1" t="s">
        <v>5893</v>
      </c>
      <c r="D929" s="1" t="s">
        <v>5894</v>
      </c>
      <c r="E929" s="1" t="s">
        <v>5895</v>
      </c>
      <c r="F929" s="1" t="s">
        <v>2022</v>
      </c>
      <c r="G929" s="1" t="s">
        <v>1941</v>
      </c>
      <c r="H929" s="1">
        <v>97271.0</v>
      </c>
      <c r="I929" s="3" t="s">
        <v>1951</v>
      </c>
    </row>
    <row r="930" ht="15.75" customHeight="1">
      <c r="A930" s="1" t="s">
        <v>1804</v>
      </c>
      <c r="B930" s="1" t="s">
        <v>5896</v>
      </c>
      <c r="C930" s="1" t="s">
        <v>5897</v>
      </c>
      <c r="D930" s="1"/>
      <c r="E930" s="1" t="s">
        <v>5898</v>
      </c>
      <c r="F930" s="1" t="s">
        <v>2037</v>
      </c>
      <c r="G930" s="1" t="s">
        <v>1941</v>
      </c>
      <c r="H930" s="1">
        <v>10004.0</v>
      </c>
      <c r="I930" s="3" t="s">
        <v>1942</v>
      </c>
    </row>
    <row r="931" ht="15.75" customHeight="1">
      <c r="A931" s="1" t="s">
        <v>1806</v>
      </c>
      <c r="B931" s="1" t="s">
        <v>5899</v>
      </c>
      <c r="C931" s="1" t="s">
        <v>5900</v>
      </c>
      <c r="D931" s="1" t="s">
        <v>5901</v>
      </c>
      <c r="E931" s="1" t="s">
        <v>5902</v>
      </c>
      <c r="F931" s="1" t="s">
        <v>2186</v>
      </c>
      <c r="G931" s="1" t="s">
        <v>1941</v>
      </c>
      <c r="H931" s="1">
        <v>20404.0</v>
      </c>
      <c r="I931" s="3" t="s">
        <v>1942</v>
      </c>
    </row>
    <row r="932" ht="15.75" customHeight="1">
      <c r="A932" s="1" t="s">
        <v>1808</v>
      </c>
      <c r="B932" s="1" t="s">
        <v>5903</v>
      </c>
      <c r="C932" s="1" t="s">
        <v>5904</v>
      </c>
      <c r="D932" s="1"/>
      <c r="E932" s="1" t="s">
        <v>5905</v>
      </c>
      <c r="F932" s="1" t="s">
        <v>2186</v>
      </c>
      <c r="G932" s="1" t="s">
        <v>1941</v>
      </c>
      <c r="H932" s="1">
        <v>20067.0</v>
      </c>
      <c r="I932" s="3" t="s">
        <v>1942</v>
      </c>
    </row>
    <row r="933" ht="15.75" customHeight="1">
      <c r="A933" s="1" t="s">
        <v>1810</v>
      </c>
      <c r="B933" s="1" t="s">
        <v>5906</v>
      </c>
      <c r="C933" s="1"/>
      <c r="D933" s="1"/>
      <c r="E933" s="1" t="s">
        <v>5907</v>
      </c>
      <c r="F933" s="1" t="s">
        <v>4886</v>
      </c>
      <c r="G933" s="1" t="s">
        <v>1941</v>
      </c>
      <c r="H933" s="1">
        <v>18105.0</v>
      </c>
      <c r="I933" s="3" t="s">
        <v>1942</v>
      </c>
    </row>
    <row r="934" ht="15.75" customHeight="1">
      <c r="A934" s="1" t="s">
        <v>1812</v>
      </c>
      <c r="B934" s="1" t="s">
        <v>5908</v>
      </c>
      <c r="C934" s="1" t="s">
        <v>5909</v>
      </c>
      <c r="D934" s="1" t="s">
        <v>5910</v>
      </c>
      <c r="E934" s="1" t="s">
        <v>5911</v>
      </c>
      <c r="F934" s="1" t="s">
        <v>3581</v>
      </c>
      <c r="G934" s="1" t="s">
        <v>1941</v>
      </c>
      <c r="H934" s="1">
        <v>33169.0</v>
      </c>
      <c r="I934" s="3" t="s">
        <v>1951</v>
      </c>
    </row>
    <row r="935" ht="15.75" customHeight="1">
      <c r="A935" s="1" t="s">
        <v>1814</v>
      </c>
      <c r="B935" s="1" t="s">
        <v>5912</v>
      </c>
      <c r="C935" s="1"/>
      <c r="D935" s="1" t="s">
        <v>5913</v>
      </c>
      <c r="E935" s="1" t="s">
        <v>5914</v>
      </c>
      <c r="F935" s="1" t="s">
        <v>2362</v>
      </c>
      <c r="G935" s="1" t="s">
        <v>1941</v>
      </c>
      <c r="H935" s="1">
        <v>73129.0</v>
      </c>
      <c r="I935" s="3" t="s">
        <v>1942</v>
      </c>
    </row>
    <row r="936" ht="15.75" customHeight="1">
      <c r="A936" s="1" t="s">
        <v>1816</v>
      </c>
      <c r="B936" s="1" t="s">
        <v>5915</v>
      </c>
      <c r="C936" s="1" t="s">
        <v>5916</v>
      </c>
      <c r="D936" s="1" t="s">
        <v>5917</v>
      </c>
      <c r="E936" s="1" t="s">
        <v>5918</v>
      </c>
      <c r="F936" s="1" t="s">
        <v>5713</v>
      </c>
      <c r="G936" s="1" t="s">
        <v>1941</v>
      </c>
      <c r="H936" s="1">
        <v>61105.0</v>
      </c>
      <c r="I936" s="3" t="s">
        <v>1951</v>
      </c>
    </row>
    <row r="937" ht="15.75" customHeight="1">
      <c r="A937" s="1" t="s">
        <v>1818</v>
      </c>
      <c r="B937" s="1" t="s">
        <v>5919</v>
      </c>
      <c r="C937" s="1" t="s">
        <v>5920</v>
      </c>
      <c r="D937" s="1" t="s">
        <v>5921</v>
      </c>
      <c r="E937" s="1" t="s">
        <v>5922</v>
      </c>
      <c r="F937" s="1" t="s">
        <v>2744</v>
      </c>
      <c r="G937" s="1" t="s">
        <v>1941</v>
      </c>
      <c r="H937" s="1">
        <v>36177.0</v>
      </c>
      <c r="I937" s="3" t="s">
        <v>1942</v>
      </c>
    </row>
    <row r="938" ht="15.75" customHeight="1">
      <c r="A938" s="1" t="s">
        <v>1820</v>
      </c>
      <c r="B938" s="1" t="s">
        <v>5923</v>
      </c>
      <c r="C938" s="1" t="s">
        <v>5924</v>
      </c>
      <c r="D938" s="1" t="s">
        <v>5925</v>
      </c>
      <c r="E938" s="1" t="s">
        <v>5926</v>
      </c>
      <c r="F938" s="1" t="s">
        <v>2947</v>
      </c>
      <c r="G938" s="1" t="s">
        <v>1941</v>
      </c>
      <c r="H938" s="1">
        <v>91117.0</v>
      </c>
      <c r="I938" s="3" t="s">
        <v>1942</v>
      </c>
    </row>
    <row r="939" ht="15.75" customHeight="1">
      <c r="A939" s="1" t="s">
        <v>5927</v>
      </c>
      <c r="B939" s="1" t="s">
        <v>5928</v>
      </c>
      <c r="C939" s="1" t="s">
        <v>5929</v>
      </c>
      <c r="D939" s="1" t="s">
        <v>5930</v>
      </c>
      <c r="E939" s="1" t="s">
        <v>5931</v>
      </c>
      <c r="F939" s="1" t="s">
        <v>2252</v>
      </c>
      <c r="G939" s="1" t="s">
        <v>1941</v>
      </c>
      <c r="H939" s="1">
        <v>60624.0</v>
      </c>
      <c r="I939" s="3" t="s">
        <v>1951</v>
      </c>
    </row>
    <row r="940" ht="15.75" customHeight="1">
      <c r="A940" s="1" t="s">
        <v>1822</v>
      </c>
      <c r="B940" s="1" t="s">
        <v>5932</v>
      </c>
      <c r="C940" s="1" t="s">
        <v>5933</v>
      </c>
      <c r="D940" s="1" t="s">
        <v>5934</v>
      </c>
      <c r="E940" s="1" t="s">
        <v>5935</v>
      </c>
      <c r="F940" s="1" t="s">
        <v>2027</v>
      </c>
      <c r="G940" s="1" t="s">
        <v>1941</v>
      </c>
      <c r="H940" s="1">
        <v>77293.0</v>
      </c>
      <c r="I940" s="3" t="s">
        <v>1942</v>
      </c>
    </row>
    <row r="941" ht="15.75" customHeight="1">
      <c r="A941" s="1" t="s">
        <v>1824</v>
      </c>
      <c r="B941" s="1" t="s">
        <v>5936</v>
      </c>
      <c r="C941" s="1" t="s">
        <v>5937</v>
      </c>
      <c r="D941" s="1" t="s">
        <v>5938</v>
      </c>
      <c r="E941" s="1" t="s">
        <v>5939</v>
      </c>
      <c r="F941" s="1" t="s">
        <v>5940</v>
      </c>
      <c r="G941" s="1" t="s">
        <v>1941</v>
      </c>
      <c r="H941" s="1">
        <v>49444.0</v>
      </c>
      <c r="I941" s="3" t="s">
        <v>1951</v>
      </c>
    </row>
    <row r="942" ht="15.75" customHeight="1">
      <c r="A942" s="1" t="s">
        <v>1826</v>
      </c>
      <c r="B942" s="1" t="s">
        <v>5941</v>
      </c>
      <c r="C942" s="1" t="s">
        <v>5942</v>
      </c>
      <c r="D942" s="1" t="s">
        <v>5943</v>
      </c>
      <c r="E942" s="1" t="s">
        <v>5944</v>
      </c>
      <c r="F942" s="1" t="s">
        <v>2186</v>
      </c>
      <c r="G942" s="1" t="s">
        <v>1941</v>
      </c>
      <c r="H942" s="1">
        <v>20380.0</v>
      </c>
      <c r="I942" s="3" t="s">
        <v>1942</v>
      </c>
    </row>
    <row r="943" ht="15.75" customHeight="1">
      <c r="A943" s="1" t="s">
        <v>1828</v>
      </c>
      <c r="B943" s="1" t="s">
        <v>5945</v>
      </c>
      <c r="C943" s="1" t="s">
        <v>5946</v>
      </c>
      <c r="D943" s="1" t="s">
        <v>5947</v>
      </c>
      <c r="E943" s="1" t="s">
        <v>5948</v>
      </c>
      <c r="F943" s="1" t="s">
        <v>5949</v>
      </c>
      <c r="G943" s="1" t="s">
        <v>1949</v>
      </c>
      <c r="H943" s="1" t="s">
        <v>5950</v>
      </c>
      <c r="I943" s="3" t="s">
        <v>1942</v>
      </c>
    </row>
    <row r="944" ht="15.75" customHeight="1">
      <c r="A944" s="1" t="s">
        <v>1830</v>
      </c>
      <c r="B944" s="1" t="s">
        <v>5951</v>
      </c>
      <c r="C944" s="1" t="s">
        <v>5952</v>
      </c>
      <c r="D944" s="1" t="s">
        <v>5953</v>
      </c>
      <c r="E944" s="1" t="s">
        <v>5954</v>
      </c>
      <c r="F944" s="1" t="s">
        <v>2753</v>
      </c>
      <c r="G944" s="1" t="s">
        <v>1941</v>
      </c>
      <c r="H944" s="1">
        <v>31205.0</v>
      </c>
      <c r="I944" s="3" t="s">
        <v>1951</v>
      </c>
    </row>
    <row r="945" ht="15.75" customHeight="1">
      <c r="A945" s="1" t="s">
        <v>1832</v>
      </c>
      <c r="B945" s="1" t="s">
        <v>5955</v>
      </c>
      <c r="C945" s="1" t="s">
        <v>5956</v>
      </c>
      <c r="D945" s="1" t="s">
        <v>5957</v>
      </c>
      <c r="E945" s="1" t="s">
        <v>5958</v>
      </c>
      <c r="F945" s="1" t="s">
        <v>3524</v>
      </c>
      <c r="G945" s="1" t="s">
        <v>1941</v>
      </c>
      <c r="H945" s="1">
        <v>71105.0</v>
      </c>
      <c r="I945" s="3" t="s">
        <v>1951</v>
      </c>
    </row>
    <row r="946" ht="15.75" customHeight="1">
      <c r="A946" s="1" t="s">
        <v>1834</v>
      </c>
      <c r="B946" s="1" t="s">
        <v>5959</v>
      </c>
      <c r="C946" s="1" t="s">
        <v>5960</v>
      </c>
      <c r="D946" s="1" t="s">
        <v>5961</v>
      </c>
      <c r="E946" s="1" t="s">
        <v>5962</v>
      </c>
      <c r="F946" s="1" t="s">
        <v>3148</v>
      </c>
      <c r="G946" s="1" t="s">
        <v>1941</v>
      </c>
      <c r="H946" s="1">
        <v>98405.0</v>
      </c>
      <c r="I946" s="3" t="s">
        <v>1951</v>
      </c>
    </row>
    <row r="947" ht="15.75" customHeight="1">
      <c r="A947" s="1" t="s">
        <v>1836</v>
      </c>
      <c r="B947" s="1" t="s">
        <v>5963</v>
      </c>
      <c r="C947" s="1"/>
      <c r="D947" s="1" t="s">
        <v>5964</v>
      </c>
      <c r="E947" s="1" t="s">
        <v>5965</v>
      </c>
      <c r="F947" s="1" t="s">
        <v>2448</v>
      </c>
      <c r="G947" s="1" t="s">
        <v>1941</v>
      </c>
      <c r="H947" s="1">
        <v>79934.0</v>
      </c>
      <c r="I947" s="3" t="s">
        <v>1951</v>
      </c>
    </row>
    <row r="948" ht="15.75" customHeight="1">
      <c r="A948" s="1" t="s">
        <v>1838</v>
      </c>
      <c r="B948" s="1" t="s">
        <v>5966</v>
      </c>
      <c r="C948" s="1"/>
      <c r="D948" s="1" t="s">
        <v>5967</v>
      </c>
      <c r="E948" s="1" t="s">
        <v>5968</v>
      </c>
      <c r="F948" s="1" t="s">
        <v>2172</v>
      </c>
      <c r="G948" s="1" t="s">
        <v>1941</v>
      </c>
      <c r="H948" s="1">
        <v>35263.0</v>
      </c>
      <c r="I948" s="3" t="s">
        <v>1951</v>
      </c>
    </row>
    <row r="949" ht="15.75" customHeight="1">
      <c r="A949" s="1" t="s">
        <v>1840</v>
      </c>
      <c r="B949" s="1" t="s">
        <v>5969</v>
      </c>
      <c r="C949" s="1" t="s">
        <v>5970</v>
      </c>
      <c r="D949" s="1"/>
      <c r="E949" s="1" t="s">
        <v>5971</v>
      </c>
      <c r="F949" s="1" t="s">
        <v>2607</v>
      </c>
      <c r="G949" s="1" t="s">
        <v>1949</v>
      </c>
      <c r="H949" s="1" t="s">
        <v>2310</v>
      </c>
      <c r="I949" s="3" t="s">
        <v>1951</v>
      </c>
    </row>
    <row r="950" ht="15.75" customHeight="1">
      <c r="A950" s="1" t="s">
        <v>1842</v>
      </c>
      <c r="B950" s="1" t="s">
        <v>5972</v>
      </c>
      <c r="C950" s="1" t="s">
        <v>5973</v>
      </c>
      <c r="D950" s="1" t="s">
        <v>5974</v>
      </c>
      <c r="E950" s="1" t="s">
        <v>5975</v>
      </c>
      <c r="F950" s="1" t="s">
        <v>4485</v>
      </c>
      <c r="G950" s="1" t="s">
        <v>2116</v>
      </c>
      <c r="H950" s="1" t="s">
        <v>5976</v>
      </c>
      <c r="I950" s="3" t="s">
        <v>1942</v>
      </c>
    </row>
    <row r="951" ht="15.75" customHeight="1">
      <c r="A951" s="1" t="s">
        <v>1844</v>
      </c>
      <c r="B951" s="1" t="s">
        <v>5977</v>
      </c>
      <c r="C951" s="1" t="s">
        <v>5978</v>
      </c>
      <c r="D951" s="1" t="s">
        <v>5979</v>
      </c>
      <c r="E951" s="1" t="s">
        <v>5980</v>
      </c>
      <c r="F951" s="1" t="s">
        <v>5981</v>
      </c>
      <c r="G951" s="1" t="s">
        <v>1949</v>
      </c>
      <c r="H951" s="1" t="s">
        <v>5982</v>
      </c>
      <c r="I951" s="3" t="s">
        <v>1951</v>
      </c>
    </row>
    <row r="952" ht="15.75" customHeight="1">
      <c r="A952" s="1" t="s">
        <v>1846</v>
      </c>
      <c r="B952" s="1" t="s">
        <v>5983</v>
      </c>
      <c r="C952" s="1"/>
      <c r="D952" s="1" t="s">
        <v>5984</v>
      </c>
      <c r="E952" s="1" t="s">
        <v>5985</v>
      </c>
      <c r="F952" s="1" t="s">
        <v>5107</v>
      </c>
      <c r="G952" s="1" t="s">
        <v>1941</v>
      </c>
      <c r="H952" s="1">
        <v>19810.0</v>
      </c>
      <c r="I952" s="3" t="s">
        <v>1942</v>
      </c>
    </row>
    <row r="953" ht="15.75" customHeight="1">
      <c r="A953" s="1" t="s">
        <v>1848</v>
      </c>
      <c r="B953" s="1" t="s">
        <v>5986</v>
      </c>
      <c r="C953" s="1" t="s">
        <v>5987</v>
      </c>
      <c r="D953" s="1" t="s">
        <v>5988</v>
      </c>
      <c r="E953" s="1" t="s">
        <v>5989</v>
      </c>
      <c r="F953" s="1" t="s">
        <v>3662</v>
      </c>
      <c r="G953" s="1" t="s">
        <v>1941</v>
      </c>
      <c r="H953" s="1">
        <v>17121.0</v>
      </c>
      <c r="I953" s="3" t="s">
        <v>1951</v>
      </c>
    </row>
    <row r="954" ht="15.75" customHeight="1">
      <c r="A954" s="1" t="s">
        <v>1850</v>
      </c>
      <c r="B954" s="1" t="s">
        <v>5990</v>
      </c>
      <c r="C954" s="1" t="s">
        <v>5991</v>
      </c>
      <c r="D954" s="1" t="s">
        <v>5992</v>
      </c>
      <c r="E954" s="1" t="s">
        <v>5993</v>
      </c>
      <c r="F954" s="1" t="s">
        <v>5949</v>
      </c>
      <c r="G954" s="1" t="s">
        <v>1949</v>
      </c>
      <c r="H954" s="1" t="s">
        <v>5950</v>
      </c>
      <c r="I954" s="3" t="s">
        <v>1942</v>
      </c>
    </row>
    <row r="955" ht="15.75" customHeight="1">
      <c r="A955" s="1" t="s">
        <v>5994</v>
      </c>
      <c r="B955" s="1" t="s">
        <v>5995</v>
      </c>
      <c r="C955" s="1" t="s">
        <v>5996</v>
      </c>
      <c r="D955" s="1" t="s">
        <v>5997</v>
      </c>
      <c r="E955" s="1" t="s">
        <v>5998</v>
      </c>
      <c r="F955" s="1" t="s">
        <v>2448</v>
      </c>
      <c r="G955" s="1" t="s">
        <v>1941</v>
      </c>
      <c r="H955" s="1">
        <v>79940.0</v>
      </c>
      <c r="I955" s="3" t="s">
        <v>1942</v>
      </c>
    </row>
    <row r="956" ht="15.75" customHeight="1">
      <c r="A956" s="1" t="s">
        <v>5999</v>
      </c>
      <c r="B956" s="1" t="s">
        <v>6000</v>
      </c>
      <c r="C956" s="1" t="s">
        <v>6001</v>
      </c>
      <c r="D956" s="1" t="s">
        <v>6002</v>
      </c>
      <c r="E956" s="1" t="s">
        <v>6003</v>
      </c>
      <c r="F956" s="1" t="s">
        <v>2013</v>
      </c>
      <c r="G956" s="1" t="s">
        <v>1941</v>
      </c>
      <c r="H956" s="1">
        <v>63136.0</v>
      </c>
      <c r="I956" s="3" t="s">
        <v>1942</v>
      </c>
    </row>
    <row r="957" ht="15.75" customHeight="1">
      <c r="A957" s="1" t="s">
        <v>6004</v>
      </c>
      <c r="B957" s="1" t="s">
        <v>6005</v>
      </c>
      <c r="C957" s="1" t="s">
        <v>6006</v>
      </c>
      <c r="D957" s="1" t="s">
        <v>6007</v>
      </c>
      <c r="E957" s="1" t="s">
        <v>6008</v>
      </c>
      <c r="F957" s="1" t="s">
        <v>5028</v>
      </c>
      <c r="G957" s="1" t="s">
        <v>1941</v>
      </c>
      <c r="H957" s="1">
        <v>72905.0</v>
      </c>
      <c r="I957" s="3" t="s">
        <v>1942</v>
      </c>
    </row>
    <row r="958" ht="15.75" customHeight="1">
      <c r="A958" s="1" t="s">
        <v>6009</v>
      </c>
      <c r="B958" s="1" t="s">
        <v>6010</v>
      </c>
      <c r="C958" s="1" t="s">
        <v>6011</v>
      </c>
      <c r="D958" s="1" t="s">
        <v>6012</v>
      </c>
      <c r="E958" s="1" t="s">
        <v>6013</v>
      </c>
      <c r="F958" s="1" t="s">
        <v>2506</v>
      </c>
      <c r="G958" s="1" t="s">
        <v>1941</v>
      </c>
      <c r="H958" s="1">
        <v>37245.0</v>
      </c>
      <c r="I958" s="3" t="s">
        <v>1951</v>
      </c>
    </row>
    <row r="959" ht="15.75" customHeight="1">
      <c r="A959" s="1" t="s">
        <v>6014</v>
      </c>
      <c r="B959" s="1" t="s">
        <v>6015</v>
      </c>
      <c r="C959" s="1" t="s">
        <v>6016</v>
      </c>
      <c r="D959" s="1" t="s">
        <v>6017</v>
      </c>
      <c r="E959" s="1" t="s">
        <v>6018</v>
      </c>
      <c r="F959" s="1" t="s">
        <v>2186</v>
      </c>
      <c r="G959" s="1" t="s">
        <v>1941</v>
      </c>
      <c r="H959" s="1">
        <v>20088.0</v>
      </c>
      <c r="I959" s="3" t="s">
        <v>1942</v>
      </c>
    </row>
    <row r="960" ht="15.75" customHeight="1">
      <c r="A960" s="1" t="s">
        <v>6019</v>
      </c>
      <c r="B960" s="1" t="s">
        <v>6020</v>
      </c>
      <c r="C960" s="1" t="s">
        <v>6021</v>
      </c>
      <c r="D960" s="1"/>
      <c r="E960" s="1" t="s">
        <v>6022</v>
      </c>
      <c r="F960" s="1" t="s">
        <v>6023</v>
      </c>
      <c r="G960" s="1" t="s">
        <v>1941</v>
      </c>
      <c r="H960" s="1">
        <v>90305.0</v>
      </c>
      <c r="I960" s="3" t="s">
        <v>1942</v>
      </c>
    </row>
    <row r="961" ht="15.75" customHeight="1">
      <c r="A961" s="1" t="s">
        <v>1855</v>
      </c>
      <c r="B961" s="1" t="s">
        <v>6024</v>
      </c>
      <c r="C961" s="1" t="s">
        <v>6025</v>
      </c>
      <c r="D961" s="1"/>
      <c r="E961" s="1" t="s">
        <v>6026</v>
      </c>
      <c r="F961" s="1" t="s">
        <v>2127</v>
      </c>
      <c r="G961" s="1" t="s">
        <v>1941</v>
      </c>
      <c r="H961" s="1">
        <v>72215.0</v>
      </c>
      <c r="I961" s="3" t="s">
        <v>1942</v>
      </c>
    </row>
    <row r="962" ht="15.75" customHeight="1">
      <c r="A962" s="1" t="s">
        <v>1857</v>
      </c>
      <c r="B962" s="1" t="s">
        <v>6027</v>
      </c>
      <c r="C962" s="1" t="s">
        <v>6028</v>
      </c>
      <c r="D962" s="1" t="s">
        <v>6029</v>
      </c>
      <c r="E962" s="1" t="s">
        <v>6030</v>
      </c>
      <c r="F962" s="1" t="s">
        <v>3703</v>
      </c>
      <c r="G962" s="1" t="s">
        <v>1941</v>
      </c>
      <c r="H962" s="1">
        <v>21747.0</v>
      </c>
      <c r="I962" s="3" t="s">
        <v>1942</v>
      </c>
    </row>
    <row r="963" ht="15.75" customHeight="1">
      <c r="A963" s="1" t="s">
        <v>1859</v>
      </c>
      <c r="B963" s="1" t="s">
        <v>6031</v>
      </c>
      <c r="C963" s="1"/>
      <c r="D963" s="1" t="s">
        <v>6032</v>
      </c>
      <c r="E963" s="1" t="s">
        <v>6033</v>
      </c>
      <c r="F963" s="1" t="s">
        <v>2881</v>
      </c>
      <c r="G963" s="1" t="s">
        <v>1941</v>
      </c>
      <c r="H963" s="1">
        <v>12205.0</v>
      </c>
      <c r="I963" s="3" t="s">
        <v>1942</v>
      </c>
    </row>
    <row r="964" ht="15.75" customHeight="1">
      <c r="A964" s="1" t="s">
        <v>1861</v>
      </c>
      <c r="B964" s="1" t="s">
        <v>6034</v>
      </c>
      <c r="C964" s="1" t="s">
        <v>6035</v>
      </c>
      <c r="D964" s="1" t="s">
        <v>6036</v>
      </c>
      <c r="E964" s="1" t="s">
        <v>6037</v>
      </c>
      <c r="F964" s="1" t="s">
        <v>6038</v>
      </c>
      <c r="G964" s="1" t="s">
        <v>1949</v>
      </c>
      <c r="H964" s="1" t="s">
        <v>3194</v>
      </c>
      <c r="I964" s="3" t="s">
        <v>1942</v>
      </c>
    </row>
    <row r="965" ht="15.75" customHeight="1">
      <c r="A965" s="1" t="s">
        <v>1863</v>
      </c>
      <c r="B965" s="1" t="s">
        <v>6039</v>
      </c>
      <c r="C965" s="1" t="s">
        <v>6040</v>
      </c>
      <c r="D965" s="1" t="s">
        <v>6041</v>
      </c>
      <c r="E965" s="1" t="s">
        <v>6042</v>
      </c>
      <c r="F965" s="1" t="s">
        <v>3320</v>
      </c>
      <c r="G965" s="1" t="s">
        <v>1941</v>
      </c>
      <c r="H965" s="1">
        <v>40510.0</v>
      </c>
      <c r="I965" s="3" t="s">
        <v>1942</v>
      </c>
    </row>
    <row r="966" ht="15.75" customHeight="1">
      <c r="A966" s="1" t="s">
        <v>1865</v>
      </c>
      <c r="B966" s="1" t="s">
        <v>6043</v>
      </c>
      <c r="C966" s="1" t="s">
        <v>6044</v>
      </c>
      <c r="D966" s="1" t="s">
        <v>6045</v>
      </c>
      <c r="E966" s="1" t="s">
        <v>6046</v>
      </c>
      <c r="F966" s="1" t="s">
        <v>3785</v>
      </c>
      <c r="G966" s="1" t="s">
        <v>1941</v>
      </c>
      <c r="H966" s="1">
        <v>92165.0</v>
      </c>
      <c r="I966" s="3" t="s">
        <v>1951</v>
      </c>
    </row>
    <row r="967" ht="15.75" customHeight="1">
      <c r="A967" s="1" t="s">
        <v>1867</v>
      </c>
      <c r="B967" s="1" t="s">
        <v>6047</v>
      </c>
      <c r="C967" s="1" t="s">
        <v>6048</v>
      </c>
      <c r="D967" s="1"/>
      <c r="E967" s="1" t="s">
        <v>6049</v>
      </c>
      <c r="F967" s="1" t="s">
        <v>1986</v>
      </c>
      <c r="G967" s="1" t="s">
        <v>1941</v>
      </c>
      <c r="H967" s="1">
        <v>90040.0</v>
      </c>
      <c r="I967" s="3" t="s">
        <v>1942</v>
      </c>
    </row>
    <row r="968" ht="15.75" customHeight="1">
      <c r="A968" s="1" t="s">
        <v>1869</v>
      </c>
      <c r="B968" s="1" t="s">
        <v>6050</v>
      </c>
      <c r="C968" s="1" t="s">
        <v>6051</v>
      </c>
      <c r="D968" s="1" t="s">
        <v>6052</v>
      </c>
      <c r="E968" s="1" t="s">
        <v>6053</v>
      </c>
      <c r="F968" s="1" t="s">
        <v>2776</v>
      </c>
      <c r="G968" s="1" t="s">
        <v>1941</v>
      </c>
      <c r="H968" s="1">
        <v>11210.0</v>
      </c>
      <c r="I968" s="3" t="s">
        <v>1942</v>
      </c>
    </row>
    <row r="969" ht="15.75" customHeight="1">
      <c r="A969" s="1" t="s">
        <v>1871</v>
      </c>
      <c r="B969" s="1" t="s">
        <v>6054</v>
      </c>
      <c r="C969" s="1" t="s">
        <v>6055</v>
      </c>
      <c r="D969" s="1" t="s">
        <v>6056</v>
      </c>
      <c r="E969" s="1" t="s">
        <v>6057</v>
      </c>
      <c r="F969" s="1" t="s">
        <v>6058</v>
      </c>
      <c r="G969" s="1" t="s">
        <v>1949</v>
      </c>
      <c r="H969" s="1" t="s">
        <v>2083</v>
      </c>
      <c r="I969" s="3" t="s">
        <v>1942</v>
      </c>
    </row>
    <row r="970" ht="15.75" customHeight="1">
      <c r="A970" s="1" t="s">
        <v>1873</v>
      </c>
      <c r="B970" s="1" t="s">
        <v>6059</v>
      </c>
      <c r="C970" s="1" t="s">
        <v>6060</v>
      </c>
      <c r="D970" s="1" t="s">
        <v>6061</v>
      </c>
      <c r="E970" s="1" t="s">
        <v>6062</v>
      </c>
      <c r="F970" s="1" t="s">
        <v>6063</v>
      </c>
      <c r="G970" s="1" t="s">
        <v>1941</v>
      </c>
      <c r="H970" s="1">
        <v>32627.0</v>
      </c>
      <c r="I970" s="3" t="s">
        <v>1951</v>
      </c>
    </row>
    <row r="971" ht="15.75" customHeight="1">
      <c r="A971" s="1" t="s">
        <v>1875</v>
      </c>
      <c r="B971" s="1" t="s">
        <v>6064</v>
      </c>
      <c r="C971" s="1" t="s">
        <v>6065</v>
      </c>
      <c r="D971" s="1" t="s">
        <v>6066</v>
      </c>
      <c r="E971" s="1" t="s">
        <v>6067</v>
      </c>
      <c r="F971" s="1" t="s">
        <v>2713</v>
      </c>
      <c r="G971" s="1" t="s">
        <v>1941</v>
      </c>
      <c r="H971" s="1">
        <v>34620.0</v>
      </c>
      <c r="I971" s="3" t="s">
        <v>1942</v>
      </c>
    </row>
    <row r="972" ht="15.75" customHeight="1">
      <c r="A972" s="1" t="s">
        <v>1877</v>
      </c>
      <c r="B972" s="1" t="s">
        <v>6068</v>
      </c>
      <c r="C972" s="1"/>
      <c r="D972" s="1" t="s">
        <v>6069</v>
      </c>
      <c r="E972" s="1" t="s">
        <v>6070</v>
      </c>
      <c r="F972" s="1" t="s">
        <v>4412</v>
      </c>
      <c r="G972" s="1" t="s">
        <v>1941</v>
      </c>
      <c r="H972" s="1">
        <v>79165.0</v>
      </c>
      <c r="I972" s="3" t="s">
        <v>1951</v>
      </c>
    </row>
    <row r="973" ht="15.75" customHeight="1">
      <c r="A973" s="1" t="s">
        <v>1879</v>
      </c>
      <c r="B973" s="1" t="s">
        <v>6071</v>
      </c>
      <c r="C973" s="1" t="s">
        <v>6072</v>
      </c>
      <c r="D973" s="1" t="s">
        <v>6073</v>
      </c>
      <c r="E973" s="1" t="s">
        <v>6074</v>
      </c>
      <c r="F973" s="1" t="s">
        <v>2266</v>
      </c>
      <c r="G973" s="1" t="s">
        <v>1941</v>
      </c>
      <c r="H973" s="1">
        <v>76121.0</v>
      </c>
      <c r="I973" s="3" t="s">
        <v>1951</v>
      </c>
    </row>
    <row r="974" ht="15.75" customHeight="1">
      <c r="A974" s="1" t="s">
        <v>1881</v>
      </c>
      <c r="B974" s="1" t="s">
        <v>6075</v>
      </c>
      <c r="C974" s="1"/>
      <c r="D974" s="1" t="s">
        <v>6076</v>
      </c>
      <c r="E974" s="1" t="s">
        <v>6077</v>
      </c>
      <c r="F974" s="1" t="s">
        <v>5090</v>
      </c>
      <c r="G974" s="1" t="s">
        <v>1949</v>
      </c>
      <c r="H974" s="1" t="s">
        <v>5091</v>
      </c>
      <c r="I974" s="3" t="s">
        <v>1942</v>
      </c>
    </row>
    <row r="975" ht="15.75" customHeight="1">
      <c r="A975" s="1" t="s">
        <v>1883</v>
      </c>
      <c r="B975" s="1" t="s">
        <v>6078</v>
      </c>
      <c r="C975" s="1" t="s">
        <v>6079</v>
      </c>
      <c r="D975" s="1" t="s">
        <v>6080</v>
      </c>
      <c r="E975" s="1" t="s">
        <v>6081</v>
      </c>
      <c r="F975" s="1" t="s">
        <v>2225</v>
      </c>
      <c r="G975" s="1" t="s">
        <v>1941</v>
      </c>
      <c r="H975" s="1">
        <v>32575.0</v>
      </c>
      <c r="I975" s="3" t="s">
        <v>1951</v>
      </c>
    </row>
    <row r="976" ht="15.75" customHeight="1">
      <c r="A976" s="1" t="s">
        <v>1885</v>
      </c>
      <c r="B976" s="1" t="s">
        <v>6082</v>
      </c>
      <c r="C976" s="1" t="s">
        <v>6083</v>
      </c>
      <c r="D976" s="1" t="s">
        <v>6084</v>
      </c>
      <c r="E976" s="1" t="s">
        <v>6085</v>
      </c>
      <c r="F976" s="1" t="s">
        <v>3148</v>
      </c>
      <c r="G976" s="1" t="s">
        <v>1941</v>
      </c>
      <c r="H976" s="1">
        <v>98405.0</v>
      </c>
      <c r="I976" s="3" t="s">
        <v>1942</v>
      </c>
    </row>
    <row r="977" ht="15.75" customHeight="1">
      <c r="A977" s="1" t="s">
        <v>1887</v>
      </c>
      <c r="B977" s="1" t="s">
        <v>6086</v>
      </c>
      <c r="C977" s="1" t="s">
        <v>6087</v>
      </c>
      <c r="D977" s="1" t="s">
        <v>6088</v>
      </c>
      <c r="E977" s="1" t="s">
        <v>6089</v>
      </c>
      <c r="F977" s="1" t="s">
        <v>6090</v>
      </c>
      <c r="G977" s="1" t="s">
        <v>1949</v>
      </c>
      <c r="H977" s="1" t="s">
        <v>3183</v>
      </c>
      <c r="I977" s="3" t="s">
        <v>1942</v>
      </c>
    </row>
    <row r="978" ht="15.75" customHeight="1">
      <c r="A978" s="1" t="s">
        <v>1889</v>
      </c>
      <c r="B978" s="1" t="s">
        <v>6091</v>
      </c>
      <c r="C978" s="1" t="s">
        <v>6092</v>
      </c>
      <c r="D978" s="1" t="s">
        <v>6093</v>
      </c>
      <c r="E978" s="1" t="s">
        <v>6094</v>
      </c>
      <c r="F978" s="1" t="s">
        <v>2238</v>
      </c>
      <c r="G978" s="1" t="s">
        <v>1941</v>
      </c>
      <c r="H978" s="1">
        <v>46896.0</v>
      </c>
      <c r="I978" s="3" t="s">
        <v>1942</v>
      </c>
    </row>
    <row r="979" ht="15.75" customHeight="1">
      <c r="A979" s="1" t="s">
        <v>1891</v>
      </c>
      <c r="B979" s="1" t="s">
        <v>6095</v>
      </c>
      <c r="C979" s="1" t="s">
        <v>6096</v>
      </c>
      <c r="D979" s="1" t="s">
        <v>6097</v>
      </c>
      <c r="E979" s="1" t="s">
        <v>6098</v>
      </c>
      <c r="F979" s="1" t="s">
        <v>4412</v>
      </c>
      <c r="G979" s="1" t="s">
        <v>1941</v>
      </c>
      <c r="H979" s="1">
        <v>79105.0</v>
      </c>
      <c r="I979" s="3" t="s">
        <v>1951</v>
      </c>
    </row>
    <row r="980" ht="15.75" customHeight="1">
      <c r="A980" s="1" t="s">
        <v>6099</v>
      </c>
      <c r="B980" s="1" t="s">
        <v>6100</v>
      </c>
      <c r="C980" s="1" t="s">
        <v>6101</v>
      </c>
      <c r="D980" s="1" t="s">
        <v>6102</v>
      </c>
      <c r="E980" s="1" t="s">
        <v>6103</v>
      </c>
      <c r="F980" s="1" t="s">
        <v>2186</v>
      </c>
      <c r="G980" s="1" t="s">
        <v>1941</v>
      </c>
      <c r="H980" s="1">
        <v>20436.0</v>
      </c>
      <c r="I980" s="3" t="s">
        <v>1942</v>
      </c>
    </row>
    <row r="981" ht="15.75" customHeight="1">
      <c r="A981" s="1" t="s">
        <v>1894</v>
      </c>
      <c r="B981" s="1" t="s">
        <v>6104</v>
      </c>
      <c r="C981" s="1"/>
      <c r="D981" s="1" t="s">
        <v>6105</v>
      </c>
      <c r="E981" s="1" t="s">
        <v>6106</v>
      </c>
      <c r="F981" s="1" t="s">
        <v>6107</v>
      </c>
      <c r="G981" s="1" t="s">
        <v>1941</v>
      </c>
      <c r="H981" s="1">
        <v>20910.0</v>
      </c>
      <c r="I981" s="3" t="s">
        <v>1951</v>
      </c>
    </row>
    <row r="982" ht="15.75" customHeight="1">
      <c r="A982" s="1" t="s">
        <v>1896</v>
      </c>
      <c r="B982" s="1" t="s">
        <v>6108</v>
      </c>
      <c r="C982" s="1"/>
      <c r="D982" s="1" t="s">
        <v>6109</v>
      </c>
      <c r="E982" s="1" t="s">
        <v>6110</v>
      </c>
      <c r="F982" s="1" t="s">
        <v>3823</v>
      </c>
      <c r="G982" s="1" t="s">
        <v>1941</v>
      </c>
      <c r="H982" s="1">
        <v>53726.0</v>
      </c>
      <c r="I982" s="3" t="s">
        <v>1942</v>
      </c>
    </row>
    <row r="983" ht="15.75" customHeight="1">
      <c r="A983" s="1" t="s">
        <v>1898</v>
      </c>
      <c r="B983" s="1" t="s">
        <v>6111</v>
      </c>
      <c r="C983" s="1" t="s">
        <v>6112</v>
      </c>
      <c r="D983" s="1" t="s">
        <v>6113</v>
      </c>
      <c r="E983" s="1" t="s">
        <v>6114</v>
      </c>
      <c r="F983" s="1" t="s">
        <v>6115</v>
      </c>
      <c r="G983" s="1" t="s">
        <v>1941</v>
      </c>
      <c r="H983" s="1">
        <v>77305.0</v>
      </c>
      <c r="I983" s="3" t="s">
        <v>1942</v>
      </c>
    </row>
    <row r="984" ht="15.75" customHeight="1">
      <c r="A984" s="1" t="s">
        <v>1900</v>
      </c>
      <c r="B984" s="1" t="s">
        <v>6116</v>
      </c>
      <c r="C984" s="1" t="s">
        <v>6117</v>
      </c>
      <c r="D984" s="1" t="s">
        <v>6118</v>
      </c>
      <c r="E984" s="1" t="s">
        <v>6119</v>
      </c>
      <c r="F984" s="1" t="s">
        <v>3179</v>
      </c>
      <c r="G984" s="1" t="s">
        <v>1941</v>
      </c>
      <c r="H984" s="1">
        <v>76205.0</v>
      </c>
      <c r="I984" s="3" t="s">
        <v>1942</v>
      </c>
    </row>
    <row r="985" ht="15.75" customHeight="1">
      <c r="A985" s="1" t="s">
        <v>1902</v>
      </c>
      <c r="B985" s="1" t="s">
        <v>6120</v>
      </c>
      <c r="C985" s="1" t="s">
        <v>6121</v>
      </c>
      <c r="D985" s="1" t="s">
        <v>6122</v>
      </c>
      <c r="E985" s="1" t="s">
        <v>6123</v>
      </c>
      <c r="F985" s="1" t="s">
        <v>2287</v>
      </c>
      <c r="G985" s="1" t="s">
        <v>1941</v>
      </c>
      <c r="H985" s="1">
        <v>43231.0</v>
      </c>
      <c r="I985" s="3" t="s">
        <v>1942</v>
      </c>
    </row>
    <row r="986" ht="15.75" customHeight="1">
      <c r="A986" s="1" t="s">
        <v>1904</v>
      </c>
      <c r="B986" s="1" t="s">
        <v>6124</v>
      </c>
      <c r="C986" s="1" t="s">
        <v>6125</v>
      </c>
      <c r="D986" s="1"/>
      <c r="E986" s="1" t="s">
        <v>6126</v>
      </c>
      <c r="F986" s="1" t="s">
        <v>6127</v>
      </c>
      <c r="G986" s="1" t="s">
        <v>1949</v>
      </c>
      <c r="H986" s="1" t="s">
        <v>3263</v>
      </c>
      <c r="I986" s="3" t="s">
        <v>1942</v>
      </c>
    </row>
    <row r="987" ht="15.75" customHeight="1">
      <c r="A987" s="1" t="s">
        <v>1906</v>
      </c>
      <c r="B987" s="1" t="s">
        <v>6128</v>
      </c>
      <c r="C987" s="1" t="s">
        <v>6129</v>
      </c>
      <c r="D987" s="1" t="s">
        <v>6130</v>
      </c>
      <c r="E987" s="1" t="s">
        <v>6131</v>
      </c>
      <c r="F987" s="1" t="s">
        <v>2093</v>
      </c>
      <c r="G987" s="1" t="s">
        <v>1941</v>
      </c>
      <c r="H987" s="1">
        <v>80045.0</v>
      </c>
      <c r="I987" s="3" t="s">
        <v>1951</v>
      </c>
    </row>
    <row r="988" ht="15.75" customHeight="1">
      <c r="A988" s="1" t="s">
        <v>1908</v>
      </c>
      <c r="B988" s="1" t="s">
        <v>6132</v>
      </c>
      <c r="C988" s="1" t="s">
        <v>6133</v>
      </c>
      <c r="D988" s="1" t="s">
        <v>6134</v>
      </c>
      <c r="E988" s="1" t="s">
        <v>6135</v>
      </c>
      <c r="F988" s="1" t="s">
        <v>6136</v>
      </c>
      <c r="G988" s="1" t="s">
        <v>1941</v>
      </c>
      <c r="H988" s="1">
        <v>32128.0</v>
      </c>
      <c r="I988" s="3" t="s">
        <v>1951</v>
      </c>
    </row>
    <row r="989" ht="15.75" customHeight="1">
      <c r="A989" s="1" t="s">
        <v>1910</v>
      </c>
      <c r="B989" s="1" t="s">
        <v>6137</v>
      </c>
      <c r="C989" s="1" t="s">
        <v>6138</v>
      </c>
      <c r="D989" s="1" t="s">
        <v>6139</v>
      </c>
      <c r="E989" s="1" t="s">
        <v>6140</v>
      </c>
      <c r="F989" s="1" t="s">
        <v>4084</v>
      </c>
      <c r="G989" s="1" t="s">
        <v>2116</v>
      </c>
      <c r="H989" s="1" t="s">
        <v>2393</v>
      </c>
      <c r="I989" s="3" t="s">
        <v>1942</v>
      </c>
    </row>
    <row r="990" ht="15.75" customHeight="1">
      <c r="A990" s="1" t="s">
        <v>1912</v>
      </c>
      <c r="B990" s="1" t="s">
        <v>6141</v>
      </c>
      <c r="C990" s="1"/>
      <c r="D990" s="1" t="s">
        <v>6142</v>
      </c>
      <c r="E990" s="1" t="s">
        <v>6143</v>
      </c>
      <c r="F990" s="1" t="s">
        <v>6144</v>
      </c>
      <c r="G990" s="1" t="s">
        <v>2116</v>
      </c>
      <c r="H990" s="1" t="s">
        <v>6145</v>
      </c>
      <c r="I990" s="3" t="s">
        <v>1942</v>
      </c>
    </row>
    <row r="991" ht="15.75" customHeight="1">
      <c r="A991" s="1" t="s">
        <v>1914</v>
      </c>
      <c r="B991" s="1" t="s">
        <v>6146</v>
      </c>
      <c r="C991" s="1"/>
      <c r="D991" s="1" t="s">
        <v>6147</v>
      </c>
      <c r="E991" s="1" t="s">
        <v>6148</v>
      </c>
      <c r="F991" s="1" t="s">
        <v>2013</v>
      </c>
      <c r="G991" s="1" t="s">
        <v>1941</v>
      </c>
      <c r="H991" s="1">
        <v>63131.0</v>
      </c>
      <c r="I991" s="3" t="s">
        <v>1942</v>
      </c>
    </row>
    <row r="992" ht="15.75" customHeight="1">
      <c r="A992" s="1" t="s">
        <v>6149</v>
      </c>
      <c r="B992" s="1" t="s">
        <v>6150</v>
      </c>
      <c r="C992" s="1" t="s">
        <v>6151</v>
      </c>
      <c r="D992" s="1" t="s">
        <v>6152</v>
      </c>
      <c r="E992" s="1" t="s">
        <v>6153</v>
      </c>
      <c r="F992" s="1" t="s">
        <v>6154</v>
      </c>
      <c r="G992" s="1" t="s">
        <v>1941</v>
      </c>
      <c r="H992" s="1">
        <v>92056.0</v>
      </c>
      <c r="I992" s="3" t="s">
        <v>1951</v>
      </c>
    </row>
    <row r="993" ht="15.75" customHeight="1">
      <c r="A993" s="1" t="s">
        <v>6155</v>
      </c>
      <c r="B993" s="1" t="s">
        <v>6156</v>
      </c>
      <c r="C993" s="1"/>
      <c r="D993" s="1" t="s">
        <v>6157</v>
      </c>
      <c r="E993" s="1" t="s">
        <v>6158</v>
      </c>
      <c r="F993" s="1" t="s">
        <v>2678</v>
      </c>
      <c r="G993" s="1" t="s">
        <v>1941</v>
      </c>
      <c r="H993" s="1">
        <v>37416.0</v>
      </c>
      <c r="I993" s="3" t="s">
        <v>1942</v>
      </c>
    </row>
    <row r="994" ht="15.75" customHeight="1">
      <c r="A994" s="1" t="s">
        <v>1918</v>
      </c>
      <c r="B994" s="1" t="s">
        <v>6159</v>
      </c>
      <c r="C994" s="1"/>
      <c r="D994" s="1" t="s">
        <v>6160</v>
      </c>
      <c r="E994" s="1" t="s">
        <v>6161</v>
      </c>
      <c r="F994" s="1" t="s">
        <v>3967</v>
      </c>
      <c r="G994" s="1" t="s">
        <v>1949</v>
      </c>
      <c r="H994" s="1" t="s">
        <v>2771</v>
      </c>
      <c r="I994" s="3" t="s">
        <v>1951</v>
      </c>
    </row>
    <row r="995" ht="15.75" customHeight="1">
      <c r="A995" s="1" t="s">
        <v>1920</v>
      </c>
      <c r="B995" s="1" t="s">
        <v>6162</v>
      </c>
      <c r="C995" s="1"/>
      <c r="D995" s="1" t="s">
        <v>6163</v>
      </c>
      <c r="E995" s="1" t="s">
        <v>6164</v>
      </c>
      <c r="F995" s="1" t="s">
        <v>2017</v>
      </c>
      <c r="G995" s="1" t="s">
        <v>1941</v>
      </c>
      <c r="H995" s="1">
        <v>19125.0</v>
      </c>
      <c r="I995" s="3" t="s">
        <v>1951</v>
      </c>
    </row>
    <row r="996" ht="15.75" customHeight="1">
      <c r="A996" s="1" t="s">
        <v>1922</v>
      </c>
      <c r="B996" s="1" t="s">
        <v>6165</v>
      </c>
      <c r="C996" s="1"/>
      <c r="D996" s="1" t="s">
        <v>6166</v>
      </c>
      <c r="E996" s="1" t="s">
        <v>6167</v>
      </c>
      <c r="F996" s="1" t="s">
        <v>3912</v>
      </c>
      <c r="G996" s="1" t="s">
        <v>1949</v>
      </c>
      <c r="H996" s="1" t="s">
        <v>3913</v>
      </c>
      <c r="I996" s="3" t="s">
        <v>1951</v>
      </c>
    </row>
    <row r="997" ht="15.75" customHeight="1">
      <c r="A997" s="1" t="s">
        <v>1924</v>
      </c>
      <c r="B997" s="1" t="s">
        <v>6168</v>
      </c>
      <c r="C997" s="1" t="s">
        <v>6169</v>
      </c>
      <c r="D997" s="1" t="s">
        <v>6170</v>
      </c>
      <c r="E997" s="1" t="s">
        <v>6171</v>
      </c>
      <c r="F997" s="1" t="s">
        <v>2325</v>
      </c>
      <c r="G997" s="1" t="s">
        <v>1941</v>
      </c>
      <c r="H997" s="1">
        <v>75210.0</v>
      </c>
      <c r="I997" s="3" t="s">
        <v>1951</v>
      </c>
    </row>
    <row r="998" ht="15.75" customHeight="1">
      <c r="A998" s="1" t="s">
        <v>1916</v>
      </c>
      <c r="B998" s="1" t="s">
        <v>6172</v>
      </c>
      <c r="C998" s="1"/>
      <c r="D998" s="1" t="s">
        <v>6173</v>
      </c>
      <c r="E998" s="1" t="s">
        <v>6174</v>
      </c>
      <c r="F998" s="1" t="s">
        <v>5028</v>
      </c>
      <c r="G998" s="1" t="s">
        <v>1941</v>
      </c>
      <c r="H998" s="1">
        <v>72905.0</v>
      </c>
      <c r="I998" s="3" t="s">
        <v>1951</v>
      </c>
    </row>
    <row r="999" ht="15.75" customHeight="1">
      <c r="A999" s="1" t="s">
        <v>6175</v>
      </c>
      <c r="B999" s="1" t="s">
        <v>6176</v>
      </c>
      <c r="C999" s="1"/>
      <c r="D999" s="1" t="s">
        <v>6177</v>
      </c>
      <c r="E999" s="1" t="s">
        <v>6178</v>
      </c>
      <c r="F999" s="1" t="s">
        <v>2340</v>
      </c>
      <c r="G999" s="1" t="s">
        <v>1941</v>
      </c>
      <c r="H999" s="1">
        <v>80920.0</v>
      </c>
      <c r="I999" s="3" t="s">
        <v>1942</v>
      </c>
    </row>
    <row r="1000" ht="15.75" customHeight="1">
      <c r="A1000" s="1" t="s">
        <v>1928</v>
      </c>
      <c r="B1000" s="1" t="s">
        <v>6179</v>
      </c>
      <c r="C1000" s="1" t="s">
        <v>6180</v>
      </c>
      <c r="D1000" s="1" t="s">
        <v>6181</v>
      </c>
      <c r="E1000" s="1" t="s">
        <v>6182</v>
      </c>
      <c r="F1000" s="1" t="s">
        <v>2758</v>
      </c>
      <c r="G1000" s="1" t="s">
        <v>1941</v>
      </c>
      <c r="H1000" s="1">
        <v>90610.0</v>
      </c>
      <c r="I1000" s="3" t="s">
        <v>1951</v>
      </c>
    </row>
    <row r="1001" ht="15.75" customHeight="1">
      <c r="A1001" s="1" t="s">
        <v>1930</v>
      </c>
      <c r="B1001" s="1" t="s">
        <v>6183</v>
      </c>
      <c r="C1001" s="1"/>
      <c r="D1001" s="1" t="s">
        <v>6184</v>
      </c>
      <c r="E1001" s="1" t="s">
        <v>6185</v>
      </c>
      <c r="F1001" s="1" t="s">
        <v>4485</v>
      </c>
      <c r="G1001" s="1" t="s">
        <v>2116</v>
      </c>
      <c r="H1001" s="1" t="s">
        <v>6186</v>
      </c>
      <c r="I1001" s="3" t="s">
        <v>1942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1.71"/>
    <col customWidth="1" min="3" max="3" width="10.57"/>
    <col customWidth="1" min="4" max="4" width="4.57"/>
    <col customWidth="1" min="5" max="5" width="9.57"/>
    <col customWidth="1" min="6" max="6" width="13.43"/>
    <col customWidth="1" min="7" max="7" width="8.0"/>
    <col customWidth="1" min="8" max="26" width="8.71"/>
  </cols>
  <sheetData>
    <row r="1">
      <c r="A1" s="3" t="s">
        <v>3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6187</v>
      </c>
      <c r="G1" s="3" t="s">
        <v>6188</v>
      </c>
    </row>
    <row r="2">
      <c r="A2" s="3" t="s">
        <v>128</v>
      </c>
      <c r="B2" s="3" t="s">
        <v>6189</v>
      </c>
      <c r="C2" s="3" t="s">
        <v>6190</v>
      </c>
      <c r="D2" s="4">
        <v>0.2</v>
      </c>
      <c r="E2" s="3">
        <v>3.885</v>
      </c>
      <c r="F2" s="3">
        <v>1.9425</v>
      </c>
      <c r="G2" s="3">
        <v>0.34964999999999996</v>
      </c>
    </row>
    <row r="3">
      <c r="A3" s="3" t="s">
        <v>205</v>
      </c>
      <c r="B3" s="3" t="s">
        <v>6189</v>
      </c>
      <c r="C3" s="3" t="s">
        <v>6190</v>
      </c>
      <c r="D3" s="4">
        <v>0.5</v>
      </c>
      <c r="E3" s="3">
        <v>7.77</v>
      </c>
      <c r="F3" s="3">
        <v>1.5539999999999998</v>
      </c>
      <c r="G3" s="3">
        <v>0.6992999999999999</v>
      </c>
    </row>
    <row r="4">
      <c r="A4" s="3" t="s">
        <v>19</v>
      </c>
      <c r="B4" s="3" t="s">
        <v>6189</v>
      </c>
      <c r="C4" s="3" t="s">
        <v>6190</v>
      </c>
      <c r="D4" s="4">
        <v>1.0</v>
      </c>
      <c r="E4" s="3">
        <v>12.95</v>
      </c>
      <c r="F4" s="3">
        <v>1.295</v>
      </c>
      <c r="G4" s="3">
        <v>1.1655</v>
      </c>
    </row>
    <row r="5">
      <c r="A5" s="3" t="s">
        <v>217</v>
      </c>
      <c r="B5" s="3" t="s">
        <v>6189</v>
      </c>
      <c r="C5" s="3" t="s">
        <v>6190</v>
      </c>
      <c r="D5" s="4">
        <v>2.5</v>
      </c>
      <c r="E5" s="3">
        <v>29.784999999999997</v>
      </c>
      <c r="F5" s="3">
        <v>1.1913999999999998</v>
      </c>
      <c r="G5" s="3">
        <v>2.6806499999999995</v>
      </c>
    </row>
    <row r="6">
      <c r="A6" s="3" t="s">
        <v>57</v>
      </c>
      <c r="B6" s="3" t="s">
        <v>6189</v>
      </c>
      <c r="C6" s="3" t="s">
        <v>6191</v>
      </c>
      <c r="D6" s="4">
        <v>0.2</v>
      </c>
      <c r="E6" s="3">
        <v>3.375</v>
      </c>
      <c r="F6" s="3">
        <v>1.6875</v>
      </c>
      <c r="G6" s="3">
        <v>0.30374999999999996</v>
      </c>
    </row>
    <row r="7">
      <c r="A7" s="3" t="s">
        <v>80</v>
      </c>
      <c r="B7" s="3" t="s">
        <v>6189</v>
      </c>
      <c r="C7" s="3" t="s">
        <v>6191</v>
      </c>
      <c r="D7" s="4">
        <v>0.5</v>
      </c>
      <c r="E7" s="3">
        <v>6.75</v>
      </c>
      <c r="F7" s="3">
        <v>1.35</v>
      </c>
      <c r="G7" s="3">
        <v>0.6074999999999999</v>
      </c>
    </row>
    <row r="8">
      <c r="A8" s="3" t="s">
        <v>74</v>
      </c>
      <c r="B8" s="3" t="s">
        <v>6189</v>
      </c>
      <c r="C8" s="3" t="s">
        <v>6191</v>
      </c>
      <c r="D8" s="4">
        <v>1.0</v>
      </c>
      <c r="E8" s="3">
        <v>11.25</v>
      </c>
      <c r="F8" s="3">
        <v>1.125</v>
      </c>
      <c r="G8" s="3">
        <v>1.0125</v>
      </c>
    </row>
    <row r="9">
      <c r="A9" s="3" t="s">
        <v>184</v>
      </c>
      <c r="B9" s="3" t="s">
        <v>6189</v>
      </c>
      <c r="C9" s="3" t="s">
        <v>6191</v>
      </c>
      <c r="D9" s="4">
        <v>2.5</v>
      </c>
      <c r="E9" s="3">
        <v>25.874999999999996</v>
      </c>
      <c r="F9" s="3">
        <v>1.035</v>
      </c>
      <c r="G9" s="3">
        <v>2.3287499999999994</v>
      </c>
    </row>
    <row r="10">
      <c r="A10" s="3" t="s">
        <v>67</v>
      </c>
      <c r="B10" s="3" t="s">
        <v>6189</v>
      </c>
      <c r="C10" s="3" t="s">
        <v>6192</v>
      </c>
      <c r="D10" s="4">
        <v>0.2</v>
      </c>
      <c r="E10" s="3">
        <v>2.985</v>
      </c>
      <c r="F10" s="3">
        <v>1.4925</v>
      </c>
      <c r="G10" s="3">
        <v>0.26865</v>
      </c>
    </row>
    <row r="11">
      <c r="A11" s="3" t="s">
        <v>85</v>
      </c>
      <c r="B11" s="3" t="s">
        <v>6189</v>
      </c>
      <c r="C11" s="3" t="s">
        <v>6192</v>
      </c>
      <c r="D11" s="4">
        <v>0.5</v>
      </c>
      <c r="E11" s="3">
        <v>5.97</v>
      </c>
      <c r="F11" s="3">
        <v>1.194</v>
      </c>
      <c r="G11" s="3">
        <v>0.5373</v>
      </c>
    </row>
    <row r="12">
      <c r="A12" s="3" t="s">
        <v>40</v>
      </c>
      <c r="B12" s="3" t="s">
        <v>6189</v>
      </c>
      <c r="C12" s="3" t="s">
        <v>6192</v>
      </c>
      <c r="D12" s="4">
        <v>1.0</v>
      </c>
      <c r="E12" s="3">
        <v>9.95</v>
      </c>
      <c r="F12" s="3">
        <v>0.9949999999999999</v>
      </c>
      <c r="G12" s="3">
        <v>0.8954999999999999</v>
      </c>
    </row>
    <row r="13">
      <c r="A13" s="3" t="s">
        <v>131</v>
      </c>
      <c r="B13" s="3" t="s">
        <v>6189</v>
      </c>
      <c r="C13" s="3" t="s">
        <v>6192</v>
      </c>
      <c r="D13" s="4">
        <v>2.5</v>
      </c>
      <c r="E13" s="3">
        <v>22.884999999999998</v>
      </c>
      <c r="F13" s="3">
        <v>0.9153999999999999</v>
      </c>
      <c r="G13" s="3">
        <v>2.0596499999999995</v>
      </c>
    </row>
    <row r="14">
      <c r="A14" s="3" t="s">
        <v>195</v>
      </c>
      <c r="B14" s="3" t="s">
        <v>6193</v>
      </c>
      <c r="C14" s="3" t="s">
        <v>6190</v>
      </c>
      <c r="D14" s="4">
        <v>0.2</v>
      </c>
      <c r="E14" s="3">
        <v>3.5849999999999995</v>
      </c>
      <c r="F14" s="3">
        <v>1.7924999999999998</v>
      </c>
      <c r="G14" s="3">
        <v>0.21509999999999996</v>
      </c>
    </row>
    <row r="15">
      <c r="A15" s="3" t="s">
        <v>170</v>
      </c>
      <c r="B15" s="3" t="s">
        <v>6193</v>
      </c>
      <c r="C15" s="3" t="s">
        <v>6190</v>
      </c>
      <c r="D15" s="4">
        <v>0.5</v>
      </c>
      <c r="E15" s="3">
        <v>7.169999999999999</v>
      </c>
      <c r="F15" s="3">
        <v>1.4339999999999997</v>
      </c>
      <c r="G15" s="3">
        <v>0.4301999999999999</v>
      </c>
    </row>
    <row r="16">
      <c r="A16" s="3" t="s">
        <v>202</v>
      </c>
      <c r="B16" s="3" t="s">
        <v>6193</v>
      </c>
      <c r="C16" s="3" t="s">
        <v>6190</v>
      </c>
      <c r="D16" s="4">
        <v>1.0</v>
      </c>
      <c r="E16" s="3">
        <v>11.95</v>
      </c>
      <c r="F16" s="3">
        <v>1.1949999999999998</v>
      </c>
      <c r="G16" s="3">
        <v>0.717</v>
      </c>
    </row>
    <row r="17">
      <c r="A17" s="3" t="s">
        <v>23</v>
      </c>
      <c r="B17" s="3" t="s">
        <v>6193</v>
      </c>
      <c r="C17" s="3" t="s">
        <v>6190</v>
      </c>
      <c r="D17" s="4">
        <v>2.5</v>
      </c>
      <c r="E17" s="3">
        <v>27.484999999999996</v>
      </c>
      <c r="F17" s="3">
        <v>1.0994</v>
      </c>
      <c r="G17" s="3">
        <v>1.6490999999999998</v>
      </c>
    </row>
    <row r="18">
      <c r="A18" s="3" t="s">
        <v>175</v>
      </c>
      <c r="B18" s="3" t="s">
        <v>6193</v>
      </c>
      <c r="C18" s="3" t="s">
        <v>6191</v>
      </c>
      <c r="D18" s="4">
        <v>0.2</v>
      </c>
      <c r="E18" s="3">
        <v>2.985</v>
      </c>
      <c r="F18" s="3">
        <v>1.4925</v>
      </c>
      <c r="G18" s="3">
        <v>0.17909999999999998</v>
      </c>
    </row>
    <row r="19">
      <c r="A19" s="3" t="s">
        <v>35</v>
      </c>
      <c r="B19" s="3" t="s">
        <v>6193</v>
      </c>
      <c r="C19" s="3" t="s">
        <v>6191</v>
      </c>
      <c r="D19" s="4">
        <v>0.5</v>
      </c>
      <c r="E19" s="3">
        <v>5.97</v>
      </c>
      <c r="F19" s="3">
        <v>1.194</v>
      </c>
      <c r="G19" s="3">
        <v>0.35819999999999996</v>
      </c>
    </row>
    <row r="20">
      <c r="A20" s="3" t="s">
        <v>15</v>
      </c>
      <c r="B20" s="3" t="s">
        <v>6193</v>
      </c>
      <c r="C20" s="3" t="s">
        <v>6191</v>
      </c>
      <c r="D20" s="4">
        <v>1.0</v>
      </c>
      <c r="E20" s="3">
        <v>9.95</v>
      </c>
      <c r="F20" s="3">
        <v>0.9949999999999999</v>
      </c>
      <c r="G20" s="3">
        <v>0.597</v>
      </c>
    </row>
    <row r="21" ht="15.75" customHeight="1">
      <c r="A21" s="3" t="s">
        <v>54</v>
      </c>
      <c r="B21" s="3" t="s">
        <v>6193</v>
      </c>
      <c r="C21" s="3" t="s">
        <v>6191</v>
      </c>
      <c r="D21" s="4">
        <v>2.5</v>
      </c>
      <c r="E21" s="3">
        <v>22.884999999999998</v>
      </c>
      <c r="F21" s="3">
        <v>0.9153999999999999</v>
      </c>
      <c r="G21" s="3">
        <v>1.3730999999999998</v>
      </c>
    </row>
    <row r="22" ht="15.75" customHeight="1">
      <c r="A22" s="3" t="s">
        <v>114</v>
      </c>
      <c r="B22" s="3" t="s">
        <v>6193</v>
      </c>
      <c r="C22" s="3" t="s">
        <v>6192</v>
      </c>
      <c r="D22" s="4">
        <v>0.2</v>
      </c>
      <c r="E22" s="3">
        <v>2.6849999999999996</v>
      </c>
      <c r="F22" s="3">
        <v>1.3424999999999998</v>
      </c>
      <c r="G22" s="3">
        <v>0.16109999999999997</v>
      </c>
    </row>
    <row r="23" ht="15.75" customHeight="1">
      <c r="A23" s="3" t="s">
        <v>159</v>
      </c>
      <c r="B23" s="3" t="s">
        <v>6193</v>
      </c>
      <c r="C23" s="3" t="s">
        <v>6192</v>
      </c>
      <c r="D23" s="4">
        <v>0.5</v>
      </c>
      <c r="E23" s="3">
        <v>5.369999999999999</v>
      </c>
      <c r="F23" s="3">
        <v>1.0739999999999998</v>
      </c>
      <c r="G23" s="3">
        <v>0.32219999999999993</v>
      </c>
    </row>
    <row r="24" ht="15.75" customHeight="1">
      <c r="A24" s="3" t="s">
        <v>192</v>
      </c>
      <c r="B24" s="3" t="s">
        <v>6193</v>
      </c>
      <c r="C24" s="3" t="s">
        <v>6192</v>
      </c>
      <c r="D24" s="4">
        <v>1.0</v>
      </c>
      <c r="E24" s="3">
        <v>8.95</v>
      </c>
      <c r="F24" s="3">
        <v>0.8949999999999999</v>
      </c>
      <c r="G24" s="3">
        <v>0.5369999999999999</v>
      </c>
    </row>
    <row r="25" ht="15.75" customHeight="1">
      <c r="A25" s="3" t="s">
        <v>48</v>
      </c>
      <c r="B25" s="3" t="s">
        <v>6193</v>
      </c>
      <c r="C25" s="3" t="s">
        <v>6192</v>
      </c>
      <c r="D25" s="4">
        <v>2.5</v>
      </c>
      <c r="E25" s="3">
        <v>20.584999999999997</v>
      </c>
      <c r="F25" s="3">
        <v>0.8233999999999999</v>
      </c>
      <c r="G25" s="3">
        <v>1.2350999999999999</v>
      </c>
    </row>
    <row r="26" ht="15.75" customHeight="1">
      <c r="A26" s="3" t="s">
        <v>32</v>
      </c>
      <c r="B26" s="3" t="s">
        <v>6194</v>
      </c>
      <c r="C26" s="3" t="s">
        <v>6190</v>
      </c>
      <c r="D26" s="4">
        <v>0.2</v>
      </c>
      <c r="E26" s="3">
        <v>4.755</v>
      </c>
      <c r="F26" s="3">
        <v>2.3775</v>
      </c>
      <c r="G26" s="3">
        <v>0.61815</v>
      </c>
    </row>
    <row r="27" ht="15.75" customHeight="1">
      <c r="A27" s="3" t="s">
        <v>96</v>
      </c>
      <c r="B27" s="3" t="s">
        <v>6194</v>
      </c>
      <c r="C27" s="3" t="s">
        <v>6190</v>
      </c>
      <c r="D27" s="4">
        <v>0.5</v>
      </c>
      <c r="E27" s="3">
        <v>9.51</v>
      </c>
      <c r="F27" s="3">
        <v>1.902</v>
      </c>
      <c r="G27" s="3">
        <v>1.2363</v>
      </c>
    </row>
    <row r="28" ht="15.75" customHeight="1">
      <c r="A28" s="3" t="s">
        <v>145</v>
      </c>
      <c r="B28" s="3" t="s">
        <v>6194</v>
      </c>
      <c r="C28" s="3" t="s">
        <v>6190</v>
      </c>
      <c r="D28" s="4">
        <v>1.0</v>
      </c>
      <c r="E28" s="3">
        <v>15.85</v>
      </c>
      <c r="F28" s="3">
        <v>1.585</v>
      </c>
      <c r="G28" s="3">
        <v>2.0605</v>
      </c>
    </row>
    <row r="29" ht="15.75" customHeight="1">
      <c r="A29" s="3" t="s">
        <v>117</v>
      </c>
      <c r="B29" s="3" t="s">
        <v>6194</v>
      </c>
      <c r="C29" s="3" t="s">
        <v>6190</v>
      </c>
      <c r="D29" s="4">
        <v>2.5</v>
      </c>
      <c r="E29" s="3">
        <v>36.455</v>
      </c>
      <c r="F29" s="3">
        <v>1.4582</v>
      </c>
      <c r="G29" s="3">
        <v>4.7391499999999995</v>
      </c>
    </row>
    <row r="30" ht="15.75" customHeight="1">
      <c r="A30" s="3" t="s">
        <v>90</v>
      </c>
      <c r="B30" s="3" t="s">
        <v>6194</v>
      </c>
      <c r="C30" s="3" t="s">
        <v>6191</v>
      </c>
      <c r="D30" s="4">
        <v>0.2</v>
      </c>
      <c r="E30" s="3">
        <v>4.365</v>
      </c>
      <c r="F30" s="3">
        <v>2.1825</v>
      </c>
      <c r="G30" s="3">
        <v>0.56745</v>
      </c>
    </row>
    <row r="31" ht="15.75" customHeight="1">
      <c r="A31" s="3" t="s">
        <v>91</v>
      </c>
      <c r="B31" s="3" t="s">
        <v>6194</v>
      </c>
      <c r="C31" s="3" t="s">
        <v>6191</v>
      </c>
      <c r="D31" s="4">
        <v>0.5</v>
      </c>
      <c r="E31" s="3">
        <v>8.73</v>
      </c>
      <c r="F31" s="3">
        <v>1.746</v>
      </c>
      <c r="G31" s="3">
        <v>1.1349</v>
      </c>
    </row>
    <row r="32" ht="15.75" customHeight="1">
      <c r="A32" s="3" t="s">
        <v>109</v>
      </c>
      <c r="B32" s="3" t="s">
        <v>6194</v>
      </c>
      <c r="C32" s="3" t="s">
        <v>6191</v>
      </c>
      <c r="D32" s="4">
        <v>1.0</v>
      </c>
      <c r="E32" s="3">
        <v>14.55</v>
      </c>
      <c r="F32" s="3">
        <v>1.455</v>
      </c>
      <c r="G32" s="3">
        <v>1.8915000000000002</v>
      </c>
    </row>
    <row r="33" ht="15.75" customHeight="1">
      <c r="A33" s="3" t="s">
        <v>210</v>
      </c>
      <c r="B33" s="3" t="s">
        <v>6194</v>
      </c>
      <c r="C33" s="3" t="s">
        <v>6191</v>
      </c>
      <c r="D33" s="4">
        <v>2.5</v>
      </c>
      <c r="E33" s="3">
        <v>33.464999999999996</v>
      </c>
      <c r="F33" s="3">
        <v>1.3385999999999998</v>
      </c>
      <c r="G33" s="3">
        <v>4.3504499999999995</v>
      </c>
    </row>
    <row r="34" ht="15.75" customHeight="1">
      <c r="A34" s="3" t="s">
        <v>51</v>
      </c>
      <c r="B34" s="3" t="s">
        <v>6194</v>
      </c>
      <c r="C34" s="3" t="s">
        <v>6192</v>
      </c>
      <c r="D34" s="4">
        <v>0.2</v>
      </c>
      <c r="E34" s="3">
        <v>3.885</v>
      </c>
      <c r="F34" s="3">
        <v>1.9425</v>
      </c>
      <c r="G34" s="3">
        <v>0.50505</v>
      </c>
    </row>
    <row r="35" ht="15.75" customHeight="1">
      <c r="A35" s="3" t="s">
        <v>136</v>
      </c>
      <c r="B35" s="3" t="s">
        <v>6194</v>
      </c>
      <c r="C35" s="3" t="s">
        <v>6192</v>
      </c>
      <c r="D35" s="4">
        <v>0.5</v>
      </c>
      <c r="E35" s="3">
        <v>7.77</v>
      </c>
      <c r="F35" s="3">
        <v>1.5539999999999998</v>
      </c>
      <c r="G35" s="3">
        <v>1.0101</v>
      </c>
    </row>
    <row r="36" ht="15.75" customHeight="1">
      <c r="A36" s="3" t="s">
        <v>26</v>
      </c>
      <c r="B36" s="3" t="s">
        <v>6194</v>
      </c>
      <c r="C36" s="3" t="s">
        <v>6192</v>
      </c>
      <c r="D36" s="4">
        <v>1.0</v>
      </c>
      <c r="E36" s="3">
        <v>12.95</v>
      </c>
      <c r="F36" s="3">
        <v>1.295</v>
      </c>
      <c r="G36" s="3">
        <v>1.6835</v>
      </c>
    </row>
    <row r="37" ht="15.75" customHeight="1">
      <c r="A37" s="3" t="s">
        <v>122</v>
      </c>
      <c r="B37" s="3" t="s">
        <v>6194</v>
      </c>
      <c r="C37" s="3" t="s">
        <v>6192</v>
      </c>
      <c r="D37" s="4">
        <v>2.5</v>
      </c>
      <c r="E37" s="3">
        <v>29.784999999999997</v>
      </c>
      <c r="F37" s="3">
        <v>1.1913999999999998</v>
      </c>
      <c r="G37" s="3">
        <v>3.8720499999999998</v>
      </c>
    </row>
    <row r="38" ht="15.75" customHeight="1">
      <c r="A38" s="3" t="s">
        <v>267</v>
      </c>
      <c r="B38" s="3" t="s">
        <v>6195</v>
      </c>
      <c r="C38" s="3" t="s">
        <v>6190</v>
      </c>
      <c r="D38" s="4">
        <v>0.2</v>
      </c>
      <c r="E38" s="3">
        <v>4.455</v>
      </c>
      <c r="F38" s="3">
        <v>2.2275</v>
      </c>
      <c r="G38" s="3">
        <v>0.49005</v>
      </c>
    </row>
    <row r="39" ht="15.75" customHeight="1">
      <c r="A39" s="3" t="s">
        <v>189</v>
      </c>
      <c r="B39" s="3" t="s">
        <v>6195</v>
      </c>
      <c r="C39" s="3" t="s">
        <v>6190</v>
      </c>
      <c r="D39" s="4">
        <v>0.5</v>
      </c>
      <c r="E39" s="3">
        <v>8.91</v>
      </c>
      <c r="F39" s="3">
        <v>1.782</v>
      </c>
      <c r="G39" s="3">
        <v>0.9801</v>
      </c>
    </row>
    <row r="40" ht="15.75" customHeight="1">
      <c r="A40" s="3" t="s">
        <v>150</v>
      </c>
      <c r="B40" s="3" t="s">
        <v>6195</v>
      </c>
      <c r="C40" s="3" t="s">
        <v>6190</v>
      </c>
      <c r="D40" s="4">
        <v>1.0</v>
      </c>
      <c r="E40" s="3">
        <v>14.85</v>
      </c>
      <c r="F40" s="3">
        <v>1.4849999999999999</v>
      </c>
      <c r="G40" s="3">
        <v>1.6335</v>
      </c>
    </row>
    <row r="41" ht="15.75" customHeight="1">
      <c r="A41" s="3" t="s">
        <v>43</v>
      </c>
      <c r="B41" s="3" t="s">
        <v>6195</v>
      </c>
      <c r="C41" s="3" t="s">
        <v>6190</v>
      </c>
      <c r="D41" s="4">
        <v>2.5</v>
      </c>
      <c r="E41" s="3">
        <v>34.154999999999994</v>
      </c>
      <c r="F41" s="3">
        <v>1.3661999999999999</v>
      </c>
      <c r="G41" s="3">
        <v>3.7570499999999996</v>
      </c>
    </row>
    <row r="42" ht="15.75" customHeight="1">
      <c r="A42" s="3" t="s">
        <v>77</v>
      </c>
      <c r="B42" s="3" t="s">
        <v>6195</v>
      </c>
      <c r="C42" s="3" t="s">
        <v>6191</v>
      </c>
      <c r="D42" s="4">
        <v>0.2</v>
      </c>
      <c r="E42" s="3">
        <v>4.125</v>
      </c>
      <c r="F42" s="3">
        <v>2.0625</v>
      </c>
      <c r="G42" s="3">
        <v>0.45375</v>
      </c>
    </row>
    <row r="43" ht="15.75" customHeight="1">
      <c r="A43" s="3" t="s">
        <v>16</v>
      </c>
      <c r="B43" s="3" t="s">
        <v>6195</v>
      </c>
      <c r="C43" s="3" t="s">
        <v>6191</v>
      </c>
      <c r="D43" s="4">
        <v>0.5</v>
      </c>
      <c r="E43" s="3">
        <v>8.25</v>
      </c>
      <c r="F43" s="3">
        <v>1.65</v>
      </c>
      <c r="G43" s="3">
        <v>0.9075</v>
      </c>
    </row>
    <row r="44" ht="15.75" customHeight="1">
      <c r="A44" s="3" t="s">
        <v>22</v>
      </c>
      <c r="B44" s="3" t="s">
        <v>6195</v>
      </c>
      <c r="C44" s="3" t="s">
        <v>6191</v>
      </c>
      <c r="D44" s="4">
        <v>1.0</v>
      </c>
      <c r="E44" s="3">
        <v>13.75</v>
      </c>
      <c r="F44" s="3">
        <v>1.375</v>
      </c>
      <c r="G44" s="3">
        <v>1.5125</v>
      </c>
    </row>
    <row r="45" ht="15.75" customHeight="1">
      <c r="A45" s="3" t="s">
        <v>125</v>
      </c>
      <c r="B45" s="3" t="s">
        <v>6195</v>
      </c>
      <c r="C45" s="3" t="s">
        <v>6191</v>
      </c>
      <c r="D45" s="4">
        <v>2.5</v>
      </c>
      <c r="E45" s="3">
        <v>31.624999999999996</v>
      </c>
      <c r="F45" s="3">
        <v>1.265</v>
      </c>
      <c r="G45" s="3">
        <v>3.47875</v>
      </c>
    </row>
    <row r="46" ht="15.75" customHeight="1">
      <c r="A46" s="3" t="s">
        <v>64</v>
      </c>
      <c r="B46" s="3" t="s">
        <v>6195</v>
      </c>
      <c r="C46" s="3" t="s">
        <v>6192</v>
      </c>
      <c r="D46" s="4">
        <v>0.2</v>
      </c>
      <c r="E46" s="3">
        <v>3.645</v>
      </c>
      <c r="F46" s="3">
        <v>1.8225</v>
      </c>
      <c r="G46" s="3">
        <v>0.40095000000000003</v>
      </c>
    </row>
    <row r="47" ht="15.75" customHeight="1">
      <c r="A47" s="3" t="s">
        <v>29</v>
      </c>
      <c r="B47" s="3" t="s">
        <v>6195</v>
      </c>
      <c r="C47" s="3" t="s">
        <v>6192</v>
      </c>
      <c r="D47" s="4">
        <v>0.5</v>
      </c>
      <c r="E47" s="3">
        <v>7.29</v>
      </c>
      <c r="F47" s="3">
        <v>1.458</v>
      </c>
      <c r="G47" s="3">
        <v>0.8019000000000001</v>
      </c>
    </row>
    <row r="48" ht="15.75" customHeight="1">
      <c r="A48" s="3" t="s">
        <v>258</v>
      </c>
      <c r="B48" s="3" t="s">
        <v>6195</v>
      </c>
      <c r="C48" s="3" t="s">
        <v>6192</v>
      </c>
      <c r="D48" s="4">
        <v>1.0</v>
      </c>
      <c r="E48" s="3">
        <v>12.15</v>
      </c>
      <c r="F48" s="3">
        <v>1.215</v>
      </c>
      <c r="G48" s="3">
        <v>1.3365</v>
      </c>
    </row>
    <row r="49" ht="15.75" customHeight="1">
      <c r="A49" s="3" t="s">
        <v>543</v>
      </c>
      <c r="B49" s="3" t="s">
        <v>6195</v>
      </c>
      <c r="C49" s="3" t="s">
        <v>6192</v>
      </c>
      <c r="D49" s="4">
        <v>2.5</v>
      </c>
      <c r="E49" s="3">
        <v>27.945</v>
      </c>
      <c r="F49" s="3">
        <v>1.1178</v>
      </c>
      <c r="G49" s="3">
        <v>3.07395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2022-11-26T09:51:45Z</dcterms:created>
</cp:coreProperties>
</file>